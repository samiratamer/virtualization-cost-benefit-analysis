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kllewellyn/CNT 4603 - Summer 2025/PROJECTS/Project 2 - Summer 2025/"/>
    </mc:Choice>
  </mc:AlternateContent>
  <xr:revisionPtr revIDLastSave="0" documentId="8_{A13E6F49-B12D-44D3-99BB-FE921ED9823F}" xr6:coauthVersionLast="47" xr6:coauthVersionMax="47" xr10:uidLastSave="{00000000-0000-0000-0000-000000000000}"/>
  <bookViews>
    <workbookView xWindow="24540" yWindow="4240" windowWidth="26240" windowHeight="19380" tabRatio="703" firstSheet="5" activeTab="5" xr2:uid="{00000000-000D-0000-FFFF-FFFF00000000}"/>
  </bookViews>
  <sheets>
    <sheet name="Constants" sheetId="6" r:id="rId1"/>
    <sheet name="Current - Variables" sheetId="4" r:id="rId2"/>
    <sheet name="Current Cost Structure" sheetId="1" r:id="rId3"/>
    <sheet name="Proposed - Variables" sheetId="7" r:id="rId4"/>
    <sheet name="Virtualized Cost Structure" sheetId="2" r:id="rId5"/>
    <sheet name="Project Cost Summary" sheetId="3" r:id="rId6"/>
  </sheets>
  <definedNames>
    <definedName name="adminCostOnVirtualServer">'Proposed - Variables'!$B$42:$B$42</definedName>
    <definedName name="administrativeCostPerHourYear1">Constants!$B$12</definedName>
    <definedName name="administrativeRateIncrease">Constants!$B$13:$B$13</definedName>
    <definedName name="backupTimeGroup1V">'Proposed - Variables'!$B$46:$B$46</definedName>
    <definedName name="backUpTimeGroup2V">'Proposed - Variables'!$B$47:$B$47</definedName>
    <definedName name="backUpTimeGroup3V">'Proposed - Variables'!$B$48:$B$48</definedName>
    <definedName name="backupTimeGroup4V">'Proposed - Variables'!$B$49:$B$49</definedName>
    <definedName name="costkwHYear1">Constants!$B$19</definedName>
    <definedName name="costNewGroup1Server">'Proposed - Variables'!$B$5:$B$5</definedName>
    <definedName name="costNewGroup2Server">'Proposed - Variables'!$B$8:$B$8</definedName>
    <definedName name="costNewGroup3Server">'Proposed - Variables'!$B$11:$B$11</definedName>
    <definedName name="costNewGroup4Server">'Proposed - Variables'!$B$14:$B$14</definedName>
    <definedName name="costUnitsGroup1">'Current - Variables'!$B$29</definedName>
    <definedName name="costUnitsGroup2">'Current - Variables'!$B$30:$B$30</definedName>
    <definedName name="costUnitsGroup3">'Current - Variables'!$B$31:$B$31</definedName>
    <definedName name="costUnitsGroup4A">'Current - Variables'!$B$32:$B$32</definedName>
    <definedName name="costUnitsGroup4B">'Current - Variables'!$B$33:$B$33</definedName>
    <definedName name="dataStorageMonthlyChargeYears1And2">Constants!$B$15:$B$15</definedName>
    <definedName name="dataStorageMonthlyChargeYears3Thru5">Constants!$B$16:$B$16</definedName>
    <definedName name="daysInAYear">Constants!$B$7</definedName>
    <definedName name="empsTrainedYears1And2">'Proposed - Variables'!$B$37:$B$37</definedName>
    <definedName name="empsTrainedYears3Thru5">'Proposed - Variables'!$B$38:$B$38</definedName>
    <definedName name="group1backup1">'Current Cost Structure'!$B$35:$B$35</definedName>
    <definedName name="group1backup2">'Current Cost Structure'!$B$36:$B$36</definedName>
    <definedName name="group2backup1">'Current Cost Structure'!$B$36:$B$36</definedName>
    <definedName name="group3backup1">'Current Cost Structure'!$B$37:$B$37</definedName>
    <definedName name="group4Abackup1">'Current Cost Structure'!$B$38:$B$38</definedName>
    <definedName name="group4Bbackup1">'Current Cost Structure'!$B$39:$B$39</definedName>
    <definedName name="group4BbackupA">'Current Cost Structure'!$B$39:$B$39</definedName>
    <definedName name="hoursInADay">Constants!$B$22</definedName>
    <definedName name="hoursInARealDay">Constants!$B$9</definedName>
    <definedName name="hoursInAWeek">Constants!$B$23</definedName>
    <definedName name="hoursInAYear">Constants!$B$4</definedName>
    <definedName name="hoursPerBackupGroup1">'Current - Variables'!$B$43:$B$43</definedName>
    <definedName name="hoursPerBackupGroup2">'Current - Variables'!$B$44:$B$44</definedName>
    <definedName name="hoursPerBackupGroup3">'Current - Variables'!$B$45:$B$45</definedName>
    <definedName name="hoursPerBackupGroup4A">'Current - Variables'!$B$46:$B$46</definedName>
    <definedName name="hoursPerBackupGroup4B">'Current - Variables'!$B$47:$B$47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intenanceCostYear1Group1">'Current - Variables'!$B$23</definedName>
    <definedName name="maintenanceCostYear1Group2">'Current - Variables'!$B$24:$B$24</definedName>
    <definedName name="maintenanceCostYear1Group3">'Current - Variables'!$B$25:$B$25</definedName>
    <definedName name="maintenanceCostYear1Group4A">'Current - Variables'!$B$26:$B$26</definedName>
    <definedName name="maintenanceCostYear1Group4B">'Current - Variables'!$B$27:$B$27</definedName>
    <definedName name="monthsInAYear">Constants!$B$5</definedName>
    <definedName name="newServerPowerGroup1">'Proposed - Variables'!$B$27:$B$27</definedName>
    <definedName name="newServerPowerGroup2">'Proposed - Variables'!$B$28:$B$28</definedName>
    <definedName name="newServerPowerGroup3">'Proposed - Variables'!$B$29:$B$29</definedName>
    <definedName name="newServerPowerGroup4">'Proposed - Variables'!$B$30:$B$30</definedName>
    <definedName name="numA">'Current - Variables'!$B$57</definedName>
    <definedName name="numberOfBackUpsGroup1V">'Proposed - Variables'!$B$51:$B$51</definedName>
    <definedName name="numberOfBackUpsGroup2V">'Proposed - Variables'!$B$52:$B$52</definedName>
    <definedName name="numberOfBackUpsGroup3V">'Proposed - Variables'!$B$53:$B$53</definedName>
    <definedName name="numberOfBackUpsGroup4V">'Proposed - Variables'!$B$54:$B$54</definedName>
    <definedName name="numberOfBackupsPerYearGroup1">'Current - Variables'!$B$49:$B$49</definedName>
    <definedName name="numberOfBackupsPerYearGroup2">'Current - Variables'!$B$50:$B$50</definedName>
    <definedName name="numberOfBackupsPerYearGroup3">'Current - Variables'!$B$51:$B$51</definedName>
    <definedName name="numberOfBackupsPerYearGroup4A">'Current - Variables'!$B$52:$B$52</definedName>
    <definedName name="numberOfBackupsPerYearGroup4B">'Current - Variables'!$B$53:$B$53</definedName>
    <definedName name="numNewServersGroup1">'Proposed - Variables'!$B$17:$B$17</definedName>
    <definedName name="numNewServersGroup2">'Proposed - Variables'!$B$19:$B$19</definedName>
    <definedName name="numNewServersGroup3">'Proposed - Variables'!$B$21:$B$21</definedName>
    <definedName name="numNewServersGroup4">'Proposed - Variables'!$B$23:$B$23</definedName>
    <definedName name="numServersGroup1">'Current - Variables'!$B$5</definedName>
    <definedName name="numServersGroup2">'Current - Variables'!$B$6</definedName>
    <definedName name="numServersGroup3">'Current - Variables'!$B$7</definedName>
    <definedName name="numServersGroup4A">'Current - Variables'!$B$8:$B$8</definedName>
    <definedName name="numServersGroup4B">'Current - Variables'!$B$9:$B$9</definedName>
    <definedName name="numVirtualServersGroup1">'Proposed - Variables'!$B$18:$B$18</definedName>
    <definedName name="numVirtualServersGroup2">'Proposed - Variables'!$B$20:$B$20</definedName>
    <definedName name="numVirtualServersGroup3">'Proposed - Variables'!$B$22:$B$22</definedName>
    <definedName name="numVirtualServersGroup4">'Proposed - Variables'!$B$24:$B$24</definedName>
    <definedName name="powerRateIncrease">Constants!$B$20</definedName>
    <definedName name="securityFirmMonthlyCharge">Constants!$B$14:$B$14</definedName>
    <definedName name="serverLoadGroup1">'Current - Variables'!$B$17</definedName>
    <definedName name="serverLoadGroup2">'Current - Variables'!$B$18:$B$18</definedName>
    <definedName name="serverLoadGroup3">'Current - Variables'!$B$19:$B$19</definedName>
    <definedName name="serverLoadGroup4A">'Current - Variables'!$B$20:$B$20</definedName>
    <definedName name="serverLoadGroup4B">'Current - Variables'!$B$21:$B$21</definedName>
    <definedName name="serverMaintenanceRateIncrease">Constants!$B$18:$B$18</definedName>
    <definedName name="serverPowerGroup1">'Current - Variables'!$B$11</definedName>
    <definedName name="serverPowerGroup2">'Current - Variables'!$B$12:$B$12</definedName>
    <definedName name="serverPowerGroup3">'Current - Variables'!$B$13:$B$13</definedName>
    <definedName name="serverPowerGroup4A">'Current - Variables'!$B$14:$B$14</definedName>
    <definedName name="serverPowerGroup4B">'Current - Variables'!$B$15:$B$15</definedName>
    <definedName name="servmg1y1">'Current Cost Structure'!$B$12:$B$12</definedName>
    <definedName name="servmg2y1">'Current Cost Structure'!$B$13:$B$13</definedName>
    <definedName name="servmg3y1">'Current Cost Structure'!$B$14:$B$14</definedName>
    <definedName name="servmg4Ay1">'Current Cost Structure'!$B$15:$B$15</definedName>
    <definedName name="servmg4By1">'Current Cost Structure'!$B$16:$B$16</definedName>
    <definedName name="totalfiveyearcost">'Current Cost Structure'!$B$48:$B$48</definedName>
    <definedName name="totalfiveyearcostv">'Virtualized Cost Structure'!$B$47:$B$47</definedName>
    <definedName name="totalfiveyearhardcosts">'Current Cost Structure'!$B$24:$B$24</definedName>
    <definedName name="totalfiveyearhardcostsv">'Virtualized Cost Structure'!$B$22:$B$22</definedName>
    <definedName name="totalfiveyearsoftcosts">'Current Cost Structure'!$B$44:$B$44</definedName>
    <definedName name="totalfiveyearsoftcostsv">'Virtualized Cost Structure'!$B$43:$B$43</definedName>
    <definedName name="totalyearlyhardcostsvyear1">'Virtualized Cost Structure'!$B$20:$B$20</definedName>
    <definedName name="totalyearlyhardcostsvyear2">'Virtualized Cost Structure'!$C$20:$C$20</definedName>
    <definedName name="totalyearlyhardcostsvyear3">'Virtualized Cost Structure'!$D$20:$D$20</definedName>
    <definedName name="totalyearlyhardcostsvyear4">'Virtualized Cost Structure'!$E$20:$E$20</definedName>
    <definedName name="totalyearlyhardcostsvyear5">'Virtualized Cost Structure'!$F$20:$F$20</definedName>
    <definedName name="totalyearlyhardcostsyear1">'Current Cost Structure'!$B$22:$B$22</definedName>
    <definedName name="totalyearlyhardcostsyear2">'Current Cost Structure'!$C$22:$C$22</definedName>
    <definedName name="totalyearlyhardcostsyear3">'Current Cost Structure'!$D$22:$D$22</definedName>
    <definedName name="totalyearlyhardcostsyear4">'Current Cost Structure'!$E$22:$E$22</definedName>
    <definedName name="totalyearlyhardcostsyear5">'Current Cost Structure'!$F$22:$F$22</definedName>
    <definedName name="totalyearlysoftcostsvyear1">'Virtualized Cost Structure'!$B$41:$B$41</definedName>
    <definedName name="totalyearlysoftcostsvyear2">'Virtualized Cost Structure'!$C$41:$C$41</definedName>
    <definedName name="totalyearlysoftcostsvyear3">'Virtualized Cost Structure'!$D$41:$D$41</definedName>
    <definedName name="totalyearlysoftcostsvyear4">'Virtualized Cost Structure'!$E$41:$E$41</definedName>
    <definedName name="totalyearlysoftcostsvyear5">'Virtualized Cost Structure'!$F$41:$F$41</definedName>
    <definedName name="totalyearlysoftcostsyear1">'Current Cost Structure'!$B$42:$B$42</definedName>
    <definedName name="totalyearlysoftcostsyear2">'Current Cost Structure'!$C$42:$C$42</definedName>
    <definedName name="totalyearlysoftcostsyear3">'Current Cost Structure'!$D$42:$D$42</definedName>
    <definedName name="totalyearlysoftcostsyear4">'Current Cost Structure'!$E$42:$E$42</definedName>
    <definedName name="totalyearlysoftcostsyear5">'Current Cost Structure'!$F$42:$F$42</definedName>
    <definedName name="trainingCostPerEmployee">'Proposed - Variables'!$B$36:$B$36</definedName>
    <definedName name="virtualizationSoftwareCost">'Proposed - Variables'!$B$32:$B$32</definedName>
    <definedName name="virtualizationSoftwareMaintenanceRate">'Proposed - Variables'!$B$33:$B$33</definedName>
    <definedName name="w">'Current Cost Structure'!$H$13</definedName>
    <definedName name="wattsInAKilowatt">Constants!$B$8</definedName>
    <definedName name="weeksAdministrativeTimeGroup1">'Current - Variables'!$B$37</definedName>
    <definedName name="weeksAdministrativeTimeGroup2">'Current - Variables'!$B$38:$B$38</definedName>
    <definedName name="weeksAdministrativeTimeGroup3">'Current - Variables'!$B$39:$B$39</definedName>
    <definedName name="weeksAdministrativeTImeGroup4A">'Current - Variables'!$B$40:$B$40</definedName>
    <definedName name="weeksAdministrativeTImeGroup4B">'Current - Variables'!$B$41:$B$41</definedName>
    <definedName name="weeksAdminTimeNewServers">'Proposed - Variables'!$B$43:$B$43</definedName>
    <definedName name="weeksInAYear">Constants!$B$6</definedName>
    <definedName name="year1Group1ServerMaintenance">'Proposed - Variables'!$B$6:$B$6</definedName>
    <definedName name="year1Group2ServerMaintenance">'Proposed - Variables'!$B$9:$B$9</definedName>
    <definedName name="year1Group3ServerMaintenance">'Proposed - Variables'!$B$12:$B$12</definedName>
    <definedName name="year1Group4ServerMaintenance">'Proposed - Variables'!$B$15:$B$15</definedName>
    <definedName name="year1ServerMaintenanceContractPercentage">'Proposed - Variables'!$B$44:$B$44</definedName>
    <definedName name="Z">'Current Cost Structure'!$H$14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2" l="1" a="1"/>
  <c r="F38" i="2"/>
  <c r="E38" i="2" a="1"/>
  <c r="E38" i="2"/>
  <c r="D38" i="2" a="1"/>
  <c r="D38" i="2"/>
  <c r="C38" i="2" a="1"/>
  <c r="C38" i="2"/>
  <c r="B38" i="2" a="1"/>
  <c r="B38" i="2"/>
  <c r="F37" i="2" a="1"/>
  <c r="F37" i="2"/>
  <c r="E37" i="2" a="1"/>
  <c r="E37" i="2"/>
  <c r="D37" i="2" a="1"/>
  <c r="D37" i="2"/>
  <c r="C37" i="2" a="1"/>
  <c r="C37" i="2"/>
  <c r="B37" i="2" a="1"/>
  <c r="B37" i="2"/>
  <c r="F36" i="2" a="1"/>
  <c r="F36" i="2"/>
  <c r="E36" i="2" a="1"/>
  <c r="E36" i="2"/>
  <c r="D36" i="2" a="1"/>
  <c r="D36" i="2"/>
  <c r="C36" i="2" a="1"/>
  <c r="C36" i="2"/>
  <c r="B36" i="2" a="1"/>
  <c r="B36" i="2"/>
  <c r="F35" i="2" a="1"/>
  <c r="F35" i="2"/>
  <c r="E35" i="2" a="1"/>
  <c r="E35" i="2"/>
  <c r="D35" i="2" a="1"/>
  <c r="D35" i="2"/>
  <c r="C35" i="2" a="1"/>
  <c r="C35" i="2"/>
  <c r="B35" i="2" a="1"/>
  <c r="B35" i="2"/>
  <c r="F32" i="2" a="1"/>
  <c r="F32" i="2"/>
  <c r="E32" i="2" a="1"/>
  <c r="E32" i="2"/>
  <c r="D32" i="2" a="1"/>
  <c r="D32" i="2"/>
  <c r="D33" i="2"/>
  <c r="C32" i="2" a="1"/>
  <c r="C32" i="2"/>
  <c r="B32" i="2" a="1"/>
  <c r="B32" i="2"/>
  <c r="E31" i="2" a="1"/>
  <c r="E31" i="2"/>
  <c r="F30" i="2" a="1"/>
  <c r="F30" i="2"/>
  <c r="E30" i="2" a="1"/>
  <c r="E30" i="2"/>
  <c r="D30" i="2" a="1"/>
  <c r="D30" i="2"/>
  <c r="C30" i="2" a="1"/>
  <c r="C30" i="2"/>
  <c r="B30" i="2" a="1"/>
  <c r="B30" i="2"/>
  <c r="F31" i="2" a="1"/>
  <c r="F31" i="2"/>
  <c r="D31" i="2" a="1"/>
  <c r="D31" i="2"/>
  <c r="C31" i="2" a="1"/>
  <c r="C31" i="2"/>
  <c r="B31" i="2" a="1"/>
  <c r="B31" i="2"/>
  <c r="E29" i="2" a="1"/>
  <c r="E29" i="2"/>
  <c r="D29" i="2" a="1"/>
  <c r="D29" i="2"/>
  <c r="C29" i="2" a="1"/>
  <c r="C29" i="2"/>
  <c r="B29" i="2" a="1"/>
  <c r="B29" i="2"/>
  <c r="F28" i="2" a="1"/>
  <c r="F28" i="2"/>
  <c r="E28" i="2" a="1"/>
  <c r="E28" i="2"/>
  <c r="D28" i="2" a="1"/>
  <c r="D28" i="2"/>
  <c r="C28" i="2" a="1"/>
  <c r="C28" i="2"/>
  <c r="B28" i="2" a="1"/>
  <c r="B28" i="2"/>
  <c r="F27" i="2" a="1"/>
  <c r="F27" i="2"/>
  <c r="E27" i="2" a="1"/>
  <c r="E27" i="2"/>
  <c r="D27" i="2" a="1"/>
  <c r="D27" i="2"/>
  <c r="C27" i="2" a="1"/>
  <c r="C27" i="2"/>
  <c r="B27" i="2" a="1"/>
  <c r="B27" i="2"/>
  <c r="F26" i="2" a="1"/>
  <c r="F26" i="2"/>
  <c r="E26" i="2" a="1"/>
  <c r="E26" i="2"/>
  <c r="D26" i="2" a="1"/>
  <c r="D26" i="2"/>
  <c r="C26" i="2" a="1"/>
  <c r="C26" i="2"/>
  <c r="B26" i="2" a="1"/>
  <c r="B26" i="2"/>
  <c r="F25" i="2" a="1"/>
  <c r="F25" i="2"/>
  <c r="E25" i="2" a="1"/>
  <c r="E25" i="2"/>
  <c r="D25" i="2" a="1"/>
  <c r="D25" i="2"/>
  <c r="C25" i="2" a="1"/>
  <c r="C25" i="2"/>
  <c r="B25" i="2" a="1"/>
  <c r="B25" i="2"/>
  <c r="F15" i="2" a="1"/>
  <c r="F15" i="2"/>
  <c r="E15" i="2" a="1"/>
  <c r="E15" i="2"/>
  <c r="D15" i="2" a="1"/>
  <c r="D15" i="2"/>
  <c r="C15" i="2" a="1"/>
  <c r="C15" i="2"/>
  <c r="B15" i="2" a="1"/>
  <c r="B15" i="2"/>
  <c r="F14" i="2" a="1"/>
  <c r="F14" i="2"/>
  <c r="E14" i="2" a="1"/>
  <c r="E14" i="2"/>
  <c r="D14" i="2" a="1"/>
  <c r="D14" i="2"/>
  <c r="C14" i="2" a="1"/>
  <c r="C14" i="2"/>
  <c r="B14" i="2" a="1"/>
  <c r="B14" i="2"/>
  <c r="F13" i="2" a="1"/>
  <c r="F13" i="2"/>
  <c r="E13" i="2" a="1"/>
  <c r="E13" i="2"/>
  <c r="D13" i="2" a="1"/>
  <c r="D13" i="2"/>
  <c r="C13" i="2" a="1"/>
  <c r="C13" i="2"/>
  <c r="B13" i="2" a="1"/>
  <c r="B13" i="2"/>
  <c r="F12" i="2" a="1"/>
  <c r="F12" i="2"/>
  <c r="E12" i="2" a="1"/>
  <c r="E12" i="2"/>
  <c r="D12" i="2" a="1"/>
  <c r="D12" i="2"/>
  <c r="C12" i="2" a="1"/>
  <c r="C12" i="2"/>
  <c r="B12" i="2" a="1"/>
  <c r="B12" i="2"/>
  <c r="F11" i="2" a="1"/>
  <c r="F11" i="2"/>
  <c r="E11" i="2" a="1"/>
  <c r="E11" i="2"/>
  <c r="D11" i="2" a="1"/>
  <c r="D11" i="2"/>
  <c r="C11" i="2" a="1"/>
  <c r="C11" i="2"/>
  <c r="B11" i="2" a="1"/>
  <c r="B11" i="2"/>
  <c r="F10" i="2" a="1"/>
  <c r="F10" i="2"/>
  <c r="E10" i="2" a="1"/>
  <c r="E10" i="2"/>
  <c r="D10" i="2" a="1"/>
  <c r="D10" i="2"/>
  <c r="C10" i="2" a="1"/>
  <c r="C10" i="2"/>
  <c r="B10" i="2" a="1"/>
  <c r="B10" i="2"/>
  <c r="F9" i="2" a="1"/>
  <c r="F9" i="2"/>
  <c r="E9" i="2" a="1"/>
  <c r="E9" i="2"/>
  <c r="D9" i="2" a="1"/>
  <c r="D9" i="2"/>
  <c r="C9" i="2" a="1"/>
  <c r="C9" i="2"/>
  <c r="B9" i="2" a="1"/>
  <c r="B9" i="2"/>
  <c r="F8" i="2" a="1"/>
  <c r="F8" i="2"/>
  <c r="E8" i="2" a="1"/>
  <c r="E8" i="2"/>
  <c r="D8" i="2" a="1"/>
  <c r="D8" i="2"/>
  <c r="C8" i="2" a="1"/>
  <c r="C8" i="2"/>
  <c r="B8" i="2" a="1"/>
  <c r="B8" i="2"/>
  <c r="B5" i="2" a="1"/>
  <c r="B5" i="2"/>
  <c r="F29" i="2" a="1"/>
  <c r="F29" i="2"/>
  <c r="F7" i="2" a="1"/>
  <c r="F7" i="2"/>
  <c r="E7" i="2" a="1"/>
  <c r="E7" i="2"/>
  <c r="D7" i="2" a="1"/>
  <c r="D7" i="2"/>
  <c r="C7" i="2" a="1"/>
  <c r="C7" i="2"/>
  <c r="B7" i="2" a="1"/>
  <c r="B7" i="2"/>
  <c r="B6" i="2" a="1"/>
  <c r="B6" i="2"/>
  <c r="C33" i="2"/>
  <c r="B32" i="1"/>
  <c r="B33" i="2"/>
  <c r="C7" i="3" a="1"/>
  <c r="C7" i="3"/>
  <c r="G6" i="3" a="1"/>
  <c r="G6" i="3"/>
  <c r="F6" i="3" a="1"/>
  <c r="F6" i="3"/>
  <c r="G8" i="3" a="1"/>
  <c r="G8" i="3"/>
  <c r="F8" i="3" a="1"/>
  <c r="F8" i="3"/>
  <c r="E8" i="3" a="1"/>
  <c r="E8" i="3"/>
  <c r="D8" i="3" a="1"/>
  <c r="D8" i="3"/>
  <c r="E6" i="3" a="1"/>
  <c r="E6" i="3"/>
  <c r="D6" i="3" a="1"/>
  <c r="D6" i="3"/>
  <c r="C6" i="3" a="1"/>
  <c r="C6" i="3"/>
  <c r="B16" i="2" a="1"/>
  <c r="B16" i="2"/>
  <c r="C39" i="2"/>
  <c r="D39" i="2"/>
  <c r="E39" i="2"/>
  <c r="F39" i="2"/>
  <c r="B39" i="2"/>
  <c r="G39" i="2" s="1"/>
  <c r="G36" i="2"/>
  <c r="G37" i="2"/>
  <c r="G38" i="2"/>
  <c r="G35" i="2"/>
  <c r="D41" i="2"/>
  <c r="E15" i="3" s="1" a="1"/>
  <c r="E15" i="3" s="1"/>
  <c r="E33" i="2"/>
  <c r="E41" i="2" s="1"/>
  <c r="F15" i="3" s="1" a="1"/>
  <c r="F15" i="3" s="1"/>
  <c r="F33" i="2"/>
  <c r="F41" i="2" s="1"/>
  <c r="G15" i="3" s="1" a="1"/>
  <c r="G15" i="3" s="1"/>
  <c r="G26" i="2"/>
  <c r="G27" i="2"/>
  <c r="G28" i="2"/>
  <c r="G29" i="2"/>
  <c r="G30" i="2"/>
  <c r="G31" i="2"/>
  <c r="G32" i="2"/>
  <c r="G25" i="2"/>
  <c r="G15" i="2"/>
  <c r="G14" i="2"/>
  <c r="G13" i="2"/>
  <c r="G12" i="2"/>
  <c r="G11" i="2"/>
  <c r="G10" i="2"/>
  <c r="G9" i="2"/>
  <c r="G8" i="2"/>
  <c r="G6" i="2"/>
  <c r="F18" i="2" a="1"/>
  <c r="F18" i="2"/>
  <c r="E18" i="2" a="1"/>
  <c r="E18" i="2"/>
  <c r="D18" i="2" a="1"/>
  <c r="D18" i="2"/>
  <c r="C18" i="2" a="1"/>
  <c r="C18" i="2"/>
  <c r="B18" i="2" a="1"/>
  <c r="B18" i="2"/>
  <c r="G18" i="2" s="1"/>
  <c r="F17" i="2" a="1"/>
  <c r="F17" i="2"/>
  <c r="E17" i="2" a="1"/>
  <c r="E17" i="2"/>
  <c r="D17" i="2" a="1"/>
  <c r="D17" i="2"/>
  <c r="C17" i="2" a="1"/>
  <c r="C17" i="2"/>
  <c r="B17" i="2" a="1"/>
  <c r="B17" i="2"/>
  <c r="G17" i="2" s="1"/>
  <c r="F16" i="2" a="1"/>
  <c r="F16" i="2"/>
  <c r="E16" i="2" a="1"/>
  <c r="E16" i="2"/>
  <c r="D16" i="2" a="1"/>
  <c r="D16" i="2"/>
  <c r="C16" i="2" a="1"/>
  <c r="C16" i="2"/>
  <c r="G16" i="2" s="1"/>
  <c r="F46" i="1"/>
  <c r="E46" i="1"/>
  <c r="D46" i="1"/>
  <c r="C46" i="1"/>
  <c r="G32" i="1"/>
  <c r="F31" i="1" a="1"/>
  <c r="F31" i="1"/>
  <c r="E31" i="1" a="1"/>
  <c r="E31" i="1"/>
  <c r="D31" i="1" a="1"/>
  <c r="D31" i="1"/>
  <c r="C31" i="1" a="1"/>
  <c r="C31" i="1"/>
  <c r="C30" i="1" a="1"/>
  <c r="C30" i="1"/>
  <c r="B30" i="1" a="1"/>
  <c r="B30" i="1"/>
  <c r="F30" i="1" a="1"/>
  <c r="F30" i="1"/>
  <c r="E30" i="1" a="1"/>
  <c r="E30" i="1"/>
  <c r="D30" i="1" a="1"/>
  <c r="D30" i="1"/>
  <c r="C29" i="1" a="1"/>
  <c r="C29" i="1"/>
  <c r="B29" i="1" a="1"/>
  <c r="B29" i="1"/>
  <c r="F29" i="1" a="1"/>
  <c r="F29" i="1"/>
  <c r="E29" i="1" a="1"/>
  <c r="E29" i="1"/>
  <c r="D29" i="1" a="1"/>
  <c r="D29" i="1"/>
  <c r="F28" i="1" a="1"/>
  <c r="F28" i="1"/>
  <c r="E28" i="1" a="1"/>
  <c r="E28" i="1"/>
  <c r="D28" i="1" a="1"/>
  <c r="D28" i="1"/>
  <c r="C28" i="1" a="1"/>
  <c r="C28" i="1"/>
  <c r="C27" i="1" a="1"/>
  <c r="C27" i="1"/>
  <c r="B31" i="1" a="1"/>
  <c r="B31" i="1"/>
  <c r="B28" i="1" a="1"/>
  <c r="B28" i="1"/>
  <c r="D27" i="1" a="1"/>
  <c r="D27" i="1"/>
  <c r="E27" i="1" a="1"/>
  <c r="E27" i="1"/>
  <c r="F27" i="1" a="1"/>
  <c r="F27" i="1"/>
  <c r="B27" i="1"/>
  <c r="C40" i="1"/>
  <c r="B40" i="1"/>
  <c r="G39" i="1"/>
  <c r="G38" i="1"/>
  <c r="G37" i="1"/>
  <c r="G36" i="1"/>
  <c r="G35" i="1"/>
  <c r="F39" i="1" a="1"/>
  <c r="F39" i="1"/>
  <c r="E39" i="1" a="1"/>
  <c r="E39" i="1"/>
  <c r="D39" i="1" a="1"/>
  <c r="D39" i="1"/>
  <c r="C39" i="1" a="1"/>
  <c r="C39" i="1"/>
  <c r="C38" i="1" a="1"/>
  <c r="C38" i="1"/>
  <c r="B39" i="1" a="1"/>
  <c r="B39" i="1"/>
  <c r="B38" i="1" a="1"/>
  <c r="B38" i="1"/>
  <c r="B37" i="1" a="1"/>
  <c r="B37" i="1"/>
  <c r="F38" i="1" a="1"/>
  <c r="F38" i="1"/>
  <c r="E38" i="1" a="1"/>
  <c r="E38" i="1"/>
  <c r="D38" i="1" a="1"/>
  <c r="D38" i="1"/>
  <c r="F37" i="1" a="1"/>
  <c r="F37" i="1"/>
  <c r="E37" i="1" a="1"/>
  <c r="E37" i="1"/>
  <c r="D37" i="1" a="1"/>
  <c r="D37" i="1"/>
  <c r="C37" i="1" a="1"/>
  <c r="C37" i="1"/>
  <c r="C36" i="1" a="1"/>
  <c r="C36" i="1"/>
  <c r="B36" i="1" a="1"/>
  <c r="B36" i="1"/>
  <c r="F36" i="1" a="1"/>
  <c r="F36" i="1"/>
  <c r="E36" i="1" a="1"/>
  <c r="E36" i="1"/>
  <c r="D36" i="1" a="1"/>
  <c r="D36" i="1"/>
  <c r="C35" i="1" a="1"/>
  <c r="C35" i="1"/>
  <c r="B35" i="1" a="1"/>
  <c r="B35" i="1"/>
  <c r="F35" i="1" a="1"/>
  <c r="F35" i="1"/>
  <c r="E35" i="1" a="1"/>
  <c r="E35" i="1"/>
  <c r="D35" i="1" a="1"/>
  <c r="D35" i="1"/>
  <c r="B9" i="1" a="1"/>
  <c r="B9" i="1"/>
  <c r="C6" i="1" a="1"/>
  <c r="C6" i="1"/>
  <c r="F40" i="1"/>
  <c r="E40" i="1"/>
  <c r="D40" i="1"/>
  <c r="G40" i="1"/>
  <c r="F32" i="1"/>
  <c r="E32" i="1"/>
  <c r="D32" i="1"/>
  <c r="C32" i="1"/>
  <c r="C42" i="1" s="1"/>
  <c r="B42" i="1"/>
  <c r="E14" i="1" a="1"/>
  <c r="E14" i="1"/>
  <c r="F14" i="1" a="1"/>
  <c r="F14" i="1"/>
  <c r="D14" i="1" a="1"/>
  <c r="D14" i="1"/>
  <c r="D13" i="1" a="1"/>
  <c r="D13" i="1"/>
  <c r="C14" i="1" a="1"/>
  <c r="C14" i="1"/>
  <c r="C13" i="1" a="1"/>
  <c r="C13" i="1"/>
  <c r="B14" i="1" a="1"/>
  <c r="B14" i="1"/>
  <c r="B13" i="1" a="1"/>
  <c r="B13" i="1"/>
  <c r="B7" i="1" a="1"/>
  <c r="B7" i="1"/>
  <c r="G31" i="1"/>
  <c r="G30" i="1"/>
  <c r="G29" i="1"/>
  <c r="G28" i="1"/>
  <c r="G27" i="1"/>
  <c r="G20" i="1"/>
  <c r="G19" i="1"/>
  <c r="F17" i="1"/>
  <c r="E17" i="1"/>
  <c r="D17" i="1"/>
  <c r="C17" i="1"/>
  <c r="B17" i="1"/>
  <c r="G16" i="1"/>
  <c r="G15" i="1"/>
  <c r="G14" i="1"/>
  <c r="G13" i="1"/>
  <c r="G17" i="1" s="1"/>
  <c r="G12" i="1"/>
  <c r="F20" i="1" a="1"/>
  <c r="F20" i="1"/>
  <c r="E20" i="1" a="1"/>
  <c r="E20" i="1"/>
  <c r="D20" i="1" a="1"/>
  <c r="D20" i="1"/>
  <c r="C20" i="1" a="1"/>
  <c r="C20" i="1"/>
  <c r="B20" i="1" a="1"/>
  <c r="B20" i="1" s="1"/>
  <c r="F19" i="1" a="1"/>
  <c r="F19" i="1"/>
  <c r="E19" i="1" a="1"/>
  <c r="E19" i="1"/>
  <c r="D19" i="1" a="1"/>
  <c r="D19" i="1"/>
  <c r="C19" i="1" a="1"/>
  <c r="C19" i="1" s="1"/>
  <c r="B19" i="1" a="1"/>
  <c r="B19" i="1"/>
  <c r="F16" i="1" a="1"/>
  <c r="F16" i="1" s="1"/>
  <c r="E16" i="1" a="1"/>
  <c r="E16" i="1"/>
  <c r="D16" i="1" a="1"/>
  <c r="D16" i="1" s="1"/>
  <c r="C16" i="1" a="1"/>
  <c r="C16" i="1" s="1"/>
  <c r="B16" i="1" a="1"/>
  <c r="B16" i="1"/>
  <c r="F15" i="1" a="1"/>
  <c r="F15" i="1"/>
  <c r="E15" i="1" a="1"/>
  <c r="E15" i="1"/>
  <c r="D15" i="1" a="1"/>
  <c r="D15" i="1" s="1"/>
  <c r="C15" i="1" a="1"/>
  <c r="C15" i="1"/>
  <c r="B15" i="1" a="1"/>
  <c r="B15" i="1"/>
  <c r="F13" i="1" a="1"/>
  <c r="F13" i="1" s="1"/>
  <c r="E13" i="1" a="1"/>
  <c r="E13" i="1"/>
  <c r="F12" i="1" a="1"/>
  <c r="F12" i="1"/>
  <c r="E12" i="1" a="1"/>
  <c r="E12" i="1"/>
  <c r="D12" i="1" a="1"/>
  <c r="D12" i="1"/>
  <c r="C12" i="1" a="1"/>
  <c r="C12" i="1"/>
  <c r="B12" i="1"/>
  <c r="F9" i="1" a="1"/>
  <c r="F9" i="1"/>
  <c r="E9" i="1" a="1"/>
  <c r="E9" i="1"/>
  <c r="D9" i="1" a="1"/>
  <c r="D9" i="1"/>
  <c r="C9" i="1" a="1"/>
  <c r="C9" i="1"/>
  <c r="G9" i="1" s="1"/>
  <c r="B8" i="1" a="1"/>
  <c r="B8" i="1"/>
  <c r="F8" i="1" a="1"/>
  <c r="F8" i="1"/>
  <c r="E8" i="1" a="1"/>
  <c r="E8" i="1"/>
  <c r="D8" i="1" a="1"/>
  <c r="D8" i="1"/>
  <c r="C8" i="1" a="1"/>
  <c r="C8" i="1"/>
  <c r="G8" i="1" s="1"/>
  <c r="F7" i="1" a="1"/>
  <c r="F7" i="1"/>
  <c r="E7" i="1" a="1"/>
  <c r="E7" i="1"/>
  <c r="D7" i="1" a="1"/>
  <c r="D7" i="1"/>
  <c r="C7" i="1" a="1"/>
  <c r="C7" i="1"/>
  <c r="G7" i="1" s="1"/>
  <c r="F6" i="1" a="1"/>
  <c r="F6" i="1"/>
  <c r="E6" i="1" a="1"/>
  <c r="E6" i="1"/>
  <c r="D6" i="1" a="1"/>
  <c r="D6" i="1"/>
  <c r="B6" i="1" a="1"/>
  <c r="B6" i="1"/>
  <c r="F5" i="1"/>
  <c r="F10" i="1" s="1"/>
  <c r="F22" i="1" s="1"/>
  <c r="E5" i="1"/>
  <c r="E10" i="1" s="1"/>
  <c r="E22" i="1" s="1"/>
  <c r="D5" i="1"/>
  <c r="D10" i="1" s="1"/>
  <c r="D22" i="1" s="1"/>
  <c r="C5" i="1"/>
  <c r="B5" i="1"/>
  <c r="B10" i="1" s="1"/>
  <c r="B22" i="1" s="1"/>
  <c r="D61" i="4"/>
  <c r="C8" i="3" l="1" a="1"/>
  <c r="C8" i="3" s="1"/>
  <c r="B46" i="1"/>
  <c r="G46" i="1" s="1"/>
  <c r="B44" i="1"/>
  <c r="B20" i="2"/>
  <c r="C13" i="3" s="1" a="1"/>
  <c r="C13" i="3" s="1"/>
  <c r="G7" i="2"/>
  <c r="C20" i="2"/>
  <c r="D13" i="3" s="1" a="1"/>
  <c r="D13" i="3" s="1"/>
  <c r="G5" i="2"/>
  <c r="D20" i="2"/>
  <c r="E13" i="3" s="1" a="1"/>
  <c r="E13" i="3" s="1"/>
  <c r="E20" i="2"/>
  <c r="F13" i="3" s="1" a="1"/>
  <c r="F13" i="3" s="1"/>
  <c r="F20" i="2"/>
  <c r="G13" i="3" s="1" a="1"/>
  <c r="G13" i="3" s="1"/>
  <c r="F45" i="2"/>
  <c r="E45" i="2"/>
  <c r="D45" i="2"/>
  <c r="B41" i="2"/>
  <c r="C15" i="3" s="1" a="1"/>
  <c r="C15" i="3" s="1"/>
  <c r="C41" i="2"/>
  <c r="D15" i="3" s="1" a="1"/>
  <c r="D15" i="3" s="1"/>
  <c r="G33" i="2"/>
  <c r="B45" i="2"/>
  <c r="B43" i="2"/>
  <c r="C16" i="3" s="1" a="1"/>
  <c r="C16" i="3" s="1"/>
  <c r="G41" i="2"/>
  <c r="B22" i="2"/>
  <c r="C14" i="3" s="1" a="1"/>
  <c r="C14" i="3" s="1"/>
  <c r="C19" i="3" s="1"/>
  <c r="G20" i="2"/>
  <c r="F42" i="1"/>
  <c r="E42" i="1"/>
  <c r="D42" i="1"/>
  <c r="G42" i="1" s="1"/>
  <c r="G6" i="1"/>
  <c r="C10" i="1"/>
  <c r="C22" i="1" s="1"/>
  <c r="G5" i="1"/>
  <c r="G10" i="1"/>
  <c r="B24" i="1"/>
  <c r="G22" i="1"/>
  <c r="C9" i="3" l="1" a="1"/>
  <c r="C9" i="3" s="1"/>
  <c r="C20" i="3" s="1"/>
  <c r="C21" i="3" s="1"/>
  <c r="B48" i="1"/>
  <c r="B10" i="3" s="1" a="1"/>
  <c r="B10" i="3" s="1"/>
  <c r="C45" i="2"/>
  <c r="B47" i="2"/>
  <c r="B17" i="3" s="1" a="1"/>
  <c r="B17" i="3" s="1"/>
  <c r="G4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<sst xmlns="http://schemas.openxmlformats.org/spreadsheetml/2006/main" count="316" uniqueCount="267">
  <si>
    <t>Constants and Shared Variables WorkSheet</t>
  </si>
  <si>
    <t>Constants</t>
  </si>
  <si>
    <t>hoursInAYear</t>
  </si>
  <si>
    <t>number of hours in 1 year (24 hrs/day * 365 days/yr)</t>
  </si>
  <si>
    <t>monthsInAYear</t>
  </si>
  <si>
    <t>number of months in a year</t>
  </si>
  <si>
    <t>weeksInAYear</t>
  </si>
  <si>
    <t>number of weeks in a year</t>
  </si>
  <si>
    <t>daysInAYear</t>
  </si>
  <si>
    <t>number of days in 1 year</t>
  </si>
  <si>
    <t>wattsInAKilowatt</t>
  </si>
  <si>
    <t>number of watts in one kilowatt</t>
  </si>
  <si>
    <t>hoursInARealDay</t>
  </si>
  <si>
    <t>Shared Variables</t>
  </si>
  <si>
    <t>These are not constants but are variables which are shared across both scenarios</t>
  </si>
  <si>
    <t>administrativeCostPerHourYear1</t>
  </si>
  <si>
    <t>cost of administrative time per hour in year 1</t>
  </si>
  <si>
    <t>administrativeRateIncrease</t>
  </si>
  <si>
    <t>administrative pay increase amount</t>
  </si>
  <si>
    <t>securityFirmMonthlyCharge</t>
  </si>
  <si>
    <t>cost per month for security auditing service - outside vendor</t>
  </si>
  <si>
    <t>dataStorageMonthlyChargeYears1And2</t>
  </si>
  <si>
    <t>cost per month for storing archival backups - years 1 &amp; 2 - outside vendor</t>
  </si>
  <si>
    <t>dataStorageMonthlyChargeYears3Thru5</t>
  </si>
  <si>
    <t>cost per month for storing archival backups - years 3,4 5 - outside vendor</t>
  </si>
  <si>
    <t>serverMaintenanceRateIncrease</t>
  </si>
  <si>
    <t>assume 3% increase in server maintenance cost each year of study</t>
  </si>
  <si>
    <t>costkwHYear1</t>
  </si>
  <si>
    <t>cost of 1 kwH or power in year 1</t>
  </si>
  <si>
    <t>powerRateIncrease</t>
  </si>
  <si>
    <t>assume 2% increase in cost of power/year of study</t>
  </si>
  <si>
    <t>hoursInADay</t>
  </si>
  <si>
    <t>number of hours in 1 administrative day</t>
  </si>
  <si>
    <t>hoursInAWeek</t>
  </si>
  <si>
    <t>number of hours in 1 administrative week</t>
  </si>
  <si>
    <t>Variables Used In The Current Scenario Spreadsheet</t>
  </si>
  <si>
    <t>Hard Costs</t>
  </si>
  <si>
    <t>Value</t>
  </si>
  <si>
    <t>Variable Name</t>
  </si>
  <si>
    <t>Variable Description</t>
  </si>
  <si>
    <t>numServersGroup1</t>
  </si>
  <si>
    <t xml:space="preserve">Group1A consists of this many  servers </t>
  </si>
  <si>
    <t>numServersGroup2</t>
  </si>
  <si>
    <t xml:space="preserve">Group 2 consists of this many  servers </t>
  </si>
  <si>
    <t>numServersGroup3</t>
  </si>
  <si>
    <t xml:space="preserve">Group 3 consists of this many  servers </t>
  </si>
  <si>
    <t>A</t>
  </si>
  <si>
    <t>numServersGroup4A</t>
  </si>
  <si>
    <t>Group 4A consists of this many  servers - backup servers</t>
  </si>
  <si>
    <t>B</t>
  </si>
  <si>
    <t>numServersGroup4B</t>
  </si>
  <si>
    <t>Group 4B consists of this many  servers - backup servers</t>
  </si>
  <si>
    <t>serverPowerGroup1</t>
  </si>
  <si>
    <t xml:space="preserve">power in watts of the servers in group 1 </t>
  </si>
  <si>
    <t>serverPowerGroup2</t>
  </si>
  <si>
    <t xml:space="preserve">power in watts of the servers in group 2 </t>
  </si>
  <si>
    <t>serverPowerGroup3</t>
  </si>
  <si>
    <t xml:space="preserve">power in watts of the servers in group 3 </t>
  </si>
  <si>
    <t>serverPowerGroup4A</t>
  </si>
  <si>
    <t>power in watts of the servers in group 4A</t>
  </si>
  <si>
    <t>serverPowerGroup4B</t>
  </si>
  <si>
    <t>power in watts of the servers in group 4B</t>
  </si>
  <si>
    <t>serverLoadGroup1</t>
  </si>
  <si>
    <t xml:space="preserve">average load of the servers in group 1  </t>
  </si>
  <si>
    <t>serverLoadGroup2</t>
  </si>
  <si>
    <t xml:space="preserve">average load of the servers in group 2  </t>
  </si>
  <si>
    <t>serverLoadGroup3</t>
  </si>
  <si>
    <t xml:space="preserve">average load of the servers in group 3 </t>
  </si>
  <si>
    <t>serverLoadGroup4A</t>
  </si>
  <si>
    <t>average load of servers in group 4A</t>
  </si>
  <si>
    <t>serverLoadGroup4B</t>
  </si>
  <si>
    <t>average load of servers in group 4B</t>
  </si>
  <si>
    <t>maintenanceCostYear1Group1</t>
  </si>
  <si>
    <t>cost of maintenance contract year 1/100 servers in group 1</t>
  </si>
  <si>
    <t>maintenanceCostYear1Group2</t>
  </si>
  <si>
    <t xml:space="preserve">cost of maintenance contract year 1/100 servers in group 2 </t>
  </si>
  <si>
    <t>maintenanceCostYear1Group3</t>
  </si>
  <si>
    <t>cost of maintenance contract year 1 - servers in group 3</t>
  </si>
  <si>
    <t>maintenanceCostYear1Group4A</t>
  </si>
  <si>
    <t>cost of maintenance contract year 1/100 servers in group 4A</t>
  </si>
  <si>
    <t>maintenanceCostYear1Group4B</t>
  </si>
  <si>
    <t>cost of maintenance contract year 1/100servers in group 4B</t>
  </si>
  <si>
    <t>costUnitsGroup1</t>
  </si>
  <si>
    <t>25000 servers in group 1 - 25000/100 = 250</t>
  </si>
  <si>
    <t>costUnitsGroup2</t>
  </si>
  <si>
    <t xml:space="preserve">9000 servers in group 2 </t>
  </si>
  <si>
    <t>costUnitsGroup3</t>
  </si>
  <si>
    <t>flat rate = 1 cost unit for group 3</t>
  </si>
  <si>
    <t>costUnitsGroup4A</t>
  </si>
  <si>
    <t xml:space="preserve">700 servers in group 4A </t>
  </si>
  <si>
    <t>costUnitsGroup4B</t>
  </si>
  <si>
    <t xml:space="preserve">200 servers in group 4B </t>
  </si>
  <si>
    <t>Soft Costs</t>
  </si>
  <si>
    <t>weeksAdministrativeTimeGroup1</t>
  </si>
  <si>
    <t xml:space="preserve">weeks of administrative time per server Group 1 </t>
  </si>
  <si>
    <t>weeksAdministrativeTimeGroup2</t>
  </si>
  <si>
    <t xml:space="preserve">weeks of administrative time per server Group  2 </t>
  </si>
  <si>
    <t>weeksAdministrativeTimeGroup3</t>
  </si>
  <si>
    <t xml:space="preserve">weeks of administrative time per server Group 3 </t>
  </si>
  <si>
    <t>weeksAdministrativeTImeGroup4A</t>
  </si>
  <si>
    <t>weeks of administrative time per server Group 4A</t>
  </si>
  <si>
    <t>weeksAdministrativeTImeGroup4B</t>
  </si>
  <si>
    <t>weeks of administrative time per server Group 4B</t>
  </si>
  <si>
    <t>hoursPerBackupGroup1</t>
  </si>
  <si>
    <t xml:space="preserve">hours per backup of server in Group 1 </t>
  </si>
  <si>
    <t>hoursPerBackupGroup2</t>
  </si>
  <si>
    <t xml:space="preserve">hours per backup of server in Group 2 </t>
  </si>
  <si>
    <t>hoursPerBackupGroup3</t>
  </si>
  <si>
    <t xml:space="preserve">hours per backup of server in Group 3 </t>
  </si>
  <si>
    <t>hoursPerBackupGroup4A</t>
  </si>
  <si>
    <t>hours per backup of server in Group 4A</t>
  </si>
  <si>
    <t>hoursPerBackupGroup4B</t>
  </si>
  <si>
    <t>hours per backup of server in Group 4B</t>
  </si>
  <si>
    <t>numberOfBackupsPerYearGroup1</t>
  </si>
  <si>
    <t xml:space="preserve">number of backups performed on servers in Group 1 in 1 year </t>
  </si>
  <si>
    <t>numberOfBackupsPerYearGroup2</t>
  </si>
  <si>
    <t>number of backups performed on servers in Group 2 in 1 year</t>
  </si>
  <si>
    <t>numberOfBackupsPerYearGroup3</t>
  </si>
  <si>
    <t xml:space="preserve">number of backups performed on servers in Group 3 in 1 year </t>
  </si>
  <si>
    <t>numberOfBackupsPerYearGroup4A</t>
  </si>
  <si>
    <t xml:space="preserve">number of backups performed on servers in Group 4A in 1 year </t>
  </si>
  <si>
    <t>numberOfBackupsPerYearGroup4B</t>
  </si>
  <si>
    <t xml:space="preserve">number of backups performed on servers in Group 4B in 1 year </t>
  </si>
  <si>
    <t>Current Scenario Yearly Costs</t>
  </si>
  <si>
    <t>Category</t>
  </si>
  <si>
    <t>Cost</t>
  </si>
  <si>
    <t>5 Year Totals</t>
  </si>
  <si>
    <t>Year 1</t>
  </si>
  <si>
    <t>Year 2</t>
  </si>
  <si>
    <t>Year 3</t>
  </si>
  <si>
    <t>Year 4</t>
  </si>
  <si>
    <t>Year 5</t>
  </si>
  <si>
    <t>Power - Group 1</t>
  </si>
  <si>
    <t>Power - Group 2</t>
  </si>
  <si>
    <t>Power - Group 3</t>
  </si>
  <si>
    <t>Power - Group 4A</t>
  </si>
  <si>
    <t>Power - Group 4B</t>
  </si>
  <si>
    <t>Total Power Costs/Year</t>
  </si>
  <si>
    <t>Server Maintenance - Group 1</t>
  </si>
  <si>
    <t>Server Maintenance - Group 2</t>
  </si>
  <si>
    <t>Server Maintenance - Group 3</t>
  </si>
  <si>
    <t>Server Maintenance - Group 4A</t>
  </si>
  <si>
    <t>Server Maintenance - Group 4B</t>
  </si>
  <si>
    <t>Total Server Maintenance Costs/Year</t>
  </si>
  <si>
    <t>Security Auditing Costs</t>
  </si>
  <si>
    <t>Archival/Storage Costs</t>
  </si>
  <si>
    <t>Total Yearly Hard Costs</t>
  </si>
  <si>
    <t>Total Five Year Hard Costs =</t>
  </si>
  <si>
    <t>Server Administration - Group 1</t>
  </si>
  <si>
    <t>Server Administration - Group 2</t>
  </si>
  <si>
    <t>Server Administration - Group 3</t>
  </si>
  <si>
    <t>Server Administration - Group 4A</t>
  </si>
  <si>
    <t>Server Administration - Group 4B</t>
  </si>
  <si>
    <t>Total Server Administration Costs/Year</t>
  </si>
  <si>
    <t>Server Backup - Group 1</t>
  </si>
  <si>
    <t>Server Backup - Group 2</t>
  </si>
  <si>
    <t>Server Backup - Group 3</t>
  </si>
  <si>
    <t>Server Backup - Group 4A</t>
  </si>
  <si>
    <t>Server Backup - Group 4B</t>
  </si>
  <si>
    <t>Total Server Backup Costs/Year</t>
  </si>
  <si>
    <t>Total Yearly Soft Costs</t>
  </si>
  <si>
    <t>Total Five Year Soft Costs =</t>
  </si>
  <si>
    <t>Total Current Cost/Year</t>
  </si>
  <si>
    <t>Total 5 YearCurrent Cost</t>
  </si>
  <si>
    <t>Variables Used In The Proposed Scenario Spreadsheet</t>
  </si>
  <si>
    <t>costNewGroup1Server</t>
  </si>
  <si>
    <t>cost of a new group 1 server</t>
  </si>
  <si>
    <t>year1Group1ServerMaintenance</t>
  </si>
  <si>
    <t>first year service maintenance cost for server in group 1</t>
  </si>
  <si>
    <t>costNewGroup2Server</t>
  </si>
  <si>
    <t>cost of a new group 2 server</t>
  </si>
  <si>
    <t>year1Group2ServerMaintenance</t>
  </si>
  <si>
    <t>first year service maintenance cost for server in group 2</t>
  </si>
  <si>
    <t>costNewGroup3Server</t>
  </si>
  <si>
    <t>cost of a new group 3 server</t>
  </si>
  <si>
    <t>year1Group3ServerMaintenance</t>
  </si>
  <si>
    <t>first year service maintenance cost for server in group 3</t>
  </si>
  <si>
    <t>costNewGroup4Server</t>
  </si>
  <si>
    <t>cost of a new group4 server</t>
  </si>
  <si>
    <t>year1Group4ServerMaintenance</t>
  </si>
  <si>
    <t>first year service maintenance cost for server in group 4</t>
  </si>
  <si>
    <t>numNewServersGroup1</t>
  </si>
  <si>
    <t>number of new physical servers in Group 1</t>
  </si>
  <si>
    <t>numVirtualServersGroup1</t>
  </si>
  <si>
    <t>number of virtualized servers in Group 1</t>
  </si>
  <si>
    <t>numNewServersGroup2</t>
  </si>
  <si>
    <t>number of new physical servers in Group 2</t>
  </si>
  <si>
    <t>numVirtualServersGroup2</t>
  </si>
  <si>
    <t>number of virtualized servers in Group 2</t>
  </si>
  <si>
    <t>numNewServersGroup3</t>
  </si>
  <si>
    <t>number of new physical servers in Group 3</t>
  </si>
  <si>
    <t>numVirtualServersGroup3</t>
  </si>
  <si>
    <t>number of virtualized servers in Group 3</t>
  </si>
  <si>
    <t>numNewServersGroup4</t>
  </si>
  <si>
    <t>number of new physical servers in Group 4</t>
  </si>
  <si>
    <t>numVirtualServersGroup4</t>
  </si>
  <si>
    <t>number of virtualized servers in Group 4</t>
  </si>
  <si>
    <t>newServerPowerGroup1</t>
  </si>
  <si>
    <t>power in watts of a server in group 1</t>
  </si>
  <si>
    <t>newServerPowerGroup2</t>
  </si>
  <si>
    <t xml:space="preserve">power in watts of a server in group 2 </t>
  </si>
  <si>
    <t>newServerPowerGroup3</t>
  </si>
  <si>
    <t>power in watts of a server in group 3</t>
  </si>
  <si>
    <t>newServerPowerGroup4</t>
  </si>
  <si>
    <t>power in watts of a server in group 4</t>
  </si>
  <si>
    <t>virtualizationSoftwareCost</t>
  </si>
  <si>
    <t>cost in dollars for virtualization software for 1 server.</t>
  </si>
  <si>
    <t>virtualizationSoftwareMaintenanceRate</t>
  </si>
  <si>
    <t>% of original cost to maintain virtualization software</t>
  </si>
  <si>
    <t>trainingCostPerEmployee</t>
  </si>
  <si>
    <t>cost per year to train one employee on virtualized system</t>
  </si>
  <si>
    <t>empsTrainedYears1And2</t>
  </si>
  <si>
    <t>number of employees trained in years 1 and 2 of the study</t>
  </si>
  <si>
    <t>empsTrainedYears3Thru5</t>
  </si>
  <si>
    <t>number of employees trained in years 3 through 5 of the study</t>
  </si>
  <si>
    <t>adminCostOnVirtualServer</t>
  </si>
  <si>
    <t>percentage of regular admin cost associated with a virtual server</t>
  </si>
  <si>
    <t>weeksAdminTimeNewServers</t>
  </si>
  <si>
    <t>year1ServerMaintenanceContractPercentage</t>
  </si>
  <si>
    <t>backupTimeGroup1V</t>
  </si>
  <si>
    <t>hours per backup of physical servers + virtual servers - Group 1</t>
  </si>
  <si>
    <t>backUpTimeGroup2V</t>
  </si>
  <si>
    <t>hours per backup of physical servers + virtual servers - Group 2</t>
  </si>
  <si>
    <t>backUpTimeGroup3V</t>
  </si>
  <si>
    <t>hours per backup of physical servers + virtual servers - Group 3</t>
  </si>
  <si>
    <t>backupTimeGroup4V</t>
  </si>
  <si>
    <t>hours per backup of physical servers + virtual servers - Group 4</t>
  </si>
  <si>
    <t>numberOfBackUpsGroup1V</t>
  </si>
  <si>
    <t>number of backup of physical servers + virtual servers per year - Group 1</t>
  </si>
  <si>
    <t>numberOfBackUpsGroup2V</t>
  </si>
  <si>
    <t>number of backup of physical servers + virtual servers per year - Group 2</t>
  </si>
  <si>
    <t>numberOfBackUpsGroup3V</t>
  </si>
  <si>
    <t>number of backup of physical servers + virtual servers per year - Group 3</t>
  </si>
  <si>
    <t>numberOfBackUpsGroup4V</t>
  </si>
  <si>
    <t>number of backup of physical servers + virtual servers per year - Group 4</t>
  </si>
  <si>
    <t>Virtualized Infrastructure Yearly Costs - Proposed Project Costs</t>
  </si>
  <si>
    <t>Machine Purchases</t>
  </si>
  <si>
    <t>Software Purchases</t>
  </si>
  <si>
    <t>Software Maintenance</t>
  </si>
  <si>
    <t>Power - Group 4</t>
  </si>
  <si>
    <t>Server Maintenance - Group 4</t>
  </si>
  <si>
    <t>Training</t>
  </si>
  <si>
    <t>Total Five Year Hard Costs</t>
  </si>
  <si>
    <t>Server Administration Group 1 - Physical</t>
  </si>
  <si>
    <t>Server Admin Group 1 - Virtual Systems</t>
  </si>
  <si>
    <t>Server Administration Group 2 - Physical</t>
  </si>
  <si>
    <t>Server Admin Group 2 - Virtual Systems</t>
  </si>
  <si>
    <t>ServerAdministration Group 3 - Physical</t>
  </si>
  <si>
    <t>Server Admin Group 3 - Virtual Systems</t>
  </si>
  <si>
    <t>Server Administration Group 4 - Physical</t>
  </si>
  <si>
    <t>Server Administration Group 4 - Virtual</t>
  </si>
  <si>
    <t>Total Administration Cost/Year</t>
  </si>
  <si>
    <t>Group 1 Backup</t>
  </si>
  <si>
    <t>Group 2 Backup</t>
  </si>
  <si>
    <t>Group 3 Backup</t>
  </si>
  <si>
    <t>Group 4 Backup</t>
  </si>
  <si>
    <t>Total Backup Cost/Year</t>
  </si>
  <si>
    <t>Total Proposed Project Costs/Year</t>
  </si>
  <si>
    <t>Total 5 Year Proposed Project Cost</t>
  </si>
  <si>
    <t>Virtualization Project Cost Summary</t>
  </si>
  <si>
    <t>Current Infrastructure Costs</t>
  </si>
  <si>
    <t>Total Five Year Soft Costs</t>
  </si>
  <si>
    <t>Total 5 Year Cost</t>
  </si>
  <si>
    <t>Virtualized Infrastructure Costs</t>
  </si>
  <si>
    <t>Net Five Year Hard Cost Savings</t>
  </si>
  <si>
    <t>Net Five Year Soft Cost Savings</t>
  </si>
  <si>
    <t>Net Five Year Overall Cost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</si>
</sst>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164" formatCode="&quot;$&quot;#,##0.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CC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3" borderId="1" xfId="0" applyFont="1" applyFill="1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8" fontId="0" fillId="4" borderId="1" xfId="0" applyNumberFormat="1" applyFill="1" applyBorder="1" applyAlignment="1">
      <alignment horizontal="center"/>
    </xf>
    <xf numFmtId="40" fontId="0" fillId="4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5" borderId="0" xfId="0" applyFill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4" fontId="0" fillId="6" borderId="1" xfId="0" applyNumberFormat="1" applyFill="1" applyBorder="1"/>
    <xf numFmtId="0" fontId="0" fillId="7" borderId="5" xfId="0" applyFill="1" applyBorder="1"/>
    <xf numFmtId="0" fontId="0" fillId="7" borderId="0" xfId="0" applyFill="1"/>
    <xf numFmtId="0" fontId="0" fillId="7" borderId="2" xfId="0" applyFill="1" applyBorder="1"/>
    <xf numFmtId="0" fontId="0" fillId="7" borderId="1" xfId="0" applyFill="1" applyBorder="1"/>
    <xf numFmtId="4" fontId="0" fillId="7" borderId="1" xfId="0" applyNumberFormat="1" applyFill="1" applyBorder="1" applyAlignment="1">
      <alignment horizontal="right"/>
    </xf>
    <xf numFmtId="0" fontId="0" fillId="7" borderId="6" xfId="0" applyFill="1" applyBorder="1"/>
    <xf numFmtId="0" fontId="0" fillId="7" borderId="7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right"/>
    </xf>
    <xf numFmtId="4" fontId="0" fillId="7" borderId="1" xfId="0" applyNumberFormat="1" applyFill="1" applyBorder="1"/>
    <xf numFmtId="0" fontId="1" fillId="7" borderId="1" xfId="0" applyFont="1" applyFill="1" applyBorder="1" applyAlignment="1">
      <alignment horizontal="left"/>
    </xf>
    <xf numFmtId="4" fontId="0" fillId="0" borderId="0" xfId="0" applyNumberFormat="1"/>
    <xf numFmtId="0" fontId="3" fillId="3" borderId="1" xfId="0" applyFon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1" fillId="7" borderId="1" xfId="0" applyFont="1" applyFill="1" applyBorder="1" applyAlignment="1">
      <alignment horizontal="right"/>
    </xf>
    <xf numFmtId="0" fontId="1" fillId="8" borderId="1" xfId="0" applyFont="1" applyFill="1" applyBorder="1" applyAlignment="1">
      <alignment horizontal="left"/>
    </xf>
    <xf numFmtId="4" fontId="0" fillId="8" borderId="1" xfId="0" applyNumberFormat="1" applyFill="1" applyBorder="1" applyAlignment="1">
      <alignment horizontal="right"/>
    </xf>
    <xf numFmtId="0" fontId="0" fillId="2" borderId="6" xfId="0" applyFill="1" applyBorder="1"/>
    <xf numFmtId="0" fontId="0" fillId="9" borderId="1" xfId="0" applyFill="1" applyBorder="1"/>
    <xf numFmtId="4" fontId="0" fillId="9" borderId="1" xfId="0" applyNumberFormat="1" applyFill="1" applyBorder="1"/>
    <xf numFmtId="4" fontId="0" fillId="10" borderId="1" xfId="0" applyNumberFormat="1" applyFill="1" applyBorder="1"/>
    <xf numFmtId="0" fontId="1" fillId="7" borderId="1" xfId="0" applyFont="1" applyFill="1" applyBorder="1"/>
    <xf numFmtId="4" fontId="0" fillId="7" borderId="9" xfId="0" applyNumberFormat="1" applyFill="1" applyBorder="1"/>
    <xf numFmtId="4" fontId="0" fillId="7" borderId="10" xfId="0" applyNumberFormat="1" applyFill="1" applyBorder="1"/>
    <xf numFmtId="0" fontId="1" fillId="5" borderId="1" xfId="0" applyFont="1" applyFill="1" applyBorder="1" applyAlignment="1">
      <alignment horizontal="left"/>
    </xf>
    <xf numFmtId="4" fontId="0" fillId="8" borderId="1" xfId="0" applyNumberFormat="1" applyFill="1" applyBorder="1"/>
    <xf numFmtId="4" fontId="0" fillId="11" borderId="1" xfId="0" applyNumberFormat="1" applyFill="1" applyBorder="1"/>
    <xf numFmtId="0" fontId="1" fillId="11" borderId="1" xfId="0" applyFont="1" applyFill="1" applyBorder="1" applyAlignment="1">
      <alignment horizontal="right"/>
    </xf>
    <xf numFmtId="0" fontId="1" fillId="8" borderId="1" xfId="0" applyFont="1" applyFill="1" applyBorder="1"/>
    <xf numFmtId="4" fontId="0" fillId="7" borderId="11" xfId="0" applyNumberFormat="1" applyFill="1" applyBorder="1"/>
    <xf numFmtId="4" fontId="0" fillId="7" borderId="6" xfId="0" applyNumberFormat="1" applyFill="1" applyBorder="1"/>
    <xf numFmtId="4" fontId="0" fillId="7" borderId="7" xfId="0" applyNumberFormat="1" applyFill="1" applyBorder="1"/>
    <xf numFmtId="0" fontId="1" fillId="7" borderId="8" xfId="0" applyFont="1" applyFill="1" applyBorder="1"/>
    <xf numFmtId="0" fontId="1" fillId="7" borderId="8" xfId="0" applyFont="1" applyFill="1" applyBorder="1" applyAlignment="1">
      <alignment horizontal="right"/>
    </xf>
    <xf numFmtId="0" fontId="5" fillId="5" borderId="1" xfId="0" applyFont="1" applyFill="1" applyBorder="1"/>
    <xf numFmtId="0" fontId="5" fillId="5" borderId="12" xfId="0" applyFont="1" applyFill="1" applyBorder="1"/>
    <xf numFmtId="0" fontId="5" fillId="5" borderId="5" xfId="0" applyFont="1" applyFill="1" applyBorder="1"/>
    <xf numFmtId="0" fontId="1" fillId="8" borderId="8" xfId="0" applyFont="1" applyFill="1" applyBorder="1" applyAlignment="1">
      <alignment horizontal="left"/>
    </xf>
    <xf numFmtId="0" fontId="1" fillId="11" borderId="1" xfId="0" applyFont="1" applyFill="1" applyBorder="1"/>
    <xf numFmtId="4" fontId="0" fillId="4" borderId="0" xfId="0" applyNumberFormat="1" applyFill="1"/>
    <xf numFmtId="4" fontId="0" fillId="12" borderId="1" xfId="0" applyNumberFormat="1" applyFill="1" applyBorder="1"/>
    <xf numFmtId="0" fontId="1" fillId="12" borderId="1" xfId="0" applyFont="1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0" fontId="0" fillId="11" borderId="1" xfId="0" applyFill="1" applyBorder="1" applyAlignment="1">
      <alignment horizontal="right"/>
    </xf>
    <xf numFmtId="4" fontId="6" fillId="9" borderId="1" xfId="0" applyNumberFormat="1" applyFont="1" applyFill="1" applyBorder="1"/>
    <xf numFmtId="4" fontId="6" fillId="13" borderId="1" xfId="0" applyNumberFormat="1" applyFont="1" applyFill="1" applyBorder="1"/>
    <xf numFmtId="0" fontId="5" fillId="11" borderId="1" xfId="0" applyFont="1" applyFill="1" applyBorder="1" applyAlignment="1">
      <alignment horizontal="right"/>
    </xf>
    <xf numFmtId="4" fontId="5" fillId="11" borderId="1" xfId="0" applyNumberFormat="1" applyFont="1" applyFill="1" applyBorder="1"/>
    <xf numFmtId="4" fontId="0" fillId="0" borderId="13" xfId="0" applyNumberFormat="1" applyBorder="1" applyAlignment="1">
      <alignment horizontal="right"/>
    </xf>
    <xf numFmtId="0" fontId="0" fillId="8" borderId="1" xfId="0" applyFill="1" applyBorder="1"/>
    <xf numFmtId="1" fontId="0" fillId="0" borderId="1" xfId="0" applyNumberForma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0" fillId="3" borderId="1" xfId="0" applyFont="1" applyFill="1" applyBorder="1"/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/>
    <xf numFmtId="164" fontId="0" fillId="7" borderId="1" xfId="0" applyNumberFormat="1" applyFill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164" fontId="0" fillId="9" borderId="1" xfId="0" applyNumberFormat="1" applyFill="1" applyBorder="1"/>
    <xf numFmtId="164" fontId="0" fillId="10" borderId="1" xfId="0" applyNumberFormat="1" applyFill="1" applyBorder="1"/>
    <xf numFmtId="164" fontId="12" fillId="0" borderId="0" xfId="0" applyNumberFormat="1" applyFont="1"/>
    <xf numFmtId="164" fontId="0" fillId="8" borderId="1" xfId="0" applyNumberFormat="1" applyFill="1" applyBorder="1" applyAlignment="1">
      <alignment horizontal="right"/>
    </xf>
    <xf numFmtId="164" fontId="0" fillId="7" borderId="1" xfId="0" applyNumberFormat="1" applyFill="1" applyBorder="1"/>
    <xf numFmtId="164" fontId="0" fillId="5" borderId="1" xfId="0" applyNumberFormat="1" applyFill="1" applyBorder="1"/>
    <xf numFmtId="164" fontId="0" fillId="8" borderId="1" xfId="0" applyNumberFormat="1" applyFill="1" applyBorder="1"/>
    <xf numFmtId="164" fontId="0" fillId="11" borderId="1" xfId="0" applyNumberFormat="1" applyFill="1" applyBorder="1"/>
    <xf numFmtId="0" fontId="0" fillId="7" borderId="10" xfId="0" applyFill="1" applyBorder="1" applyAlignment="1">
      <alignment horizontal="center"/>
    </xf>
    <xf numFmtId="4" fontId="0" fillId="0" borderId="1" xfId="0" applyNumberFormat="1" applyBorder="1" applyAlignment="1">
      <alignment horizontal="right"/>
    </xf>
    <xf numFmtId="4" fontId="0" fillId="0" borderId="1" xfId="0" applyNumberFormat="1" applyBorder="1"/>
    <xf numFmtId="4" fontId="0" fillId="0" borderId="1" xfId="0" applyNumberFormat="1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0" xfId="0" applyAlignment="1">
      <alignment wrapText="1"/>
    </xf>
    <xf numFmtId="0" fontId="9" fillId="3" borderId="8" xfId="0" applyFont="1" applyFill="1" applyBorder="1" applyAlignment="1">
      <alignment horizontal="left"/>
    </xf>
    <xf numFmtId="0" fontId="9" fillId="3" borderId="9" xfId="0" applyFont="1" applyFill="1" applyBorder="1" applyAlignment="1">
      <alignment horizontal="left"/>
    </xf>
    <xf numFmtId="0" fontId="9" fillId="3" borderId="10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9" borderId="12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7" borderId="12" xfId="0" applyFill="1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4" xfId="0" applyFill="1" applyBorder="1" applyAlignment="1">
      <alignment horizontal="right"/>
    </xf>
    <xf numFmtId="0" fontId="0" fillId="7" borderId="11" xfId="0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0" fontId="0" fillId="7" borderId="7" xfId="0" applyFill="1" applyBorder="1" applyAlignment="1">
      <alignment horizontal="right"/>
    </xf>
    <xf numFmtId="0" fontId="8" fillId="2" borderId="6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4" fontId="0" fillId="7" borderId="8" xfId="0" applyNumberFormat="1" applyFill="1" applyBorder="1" applyAlignment="1">
      <alignment horizontal="center"/>
    </xf>
    <xf numFmtId="4" fontId="0" fillId="7" borderId="9" xfId="0" applyNumberFormat="1" applyFill="1" applyBorder="1" applyAlignment="1">
      <alignment horizontal="center"/>
    </xf>
    <xf numFmtId="4" fontId="0" fillId="7" borderId="10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6" fillId="9" borderId="1" xfId="0" applyFont="1" applyFill="1" applyBorder="1" applyAlignment="1">
      <alignment horizontal="right"/>
    </xf>
    <xf numFmtId="0" fontId="6" fillId="13" borderId="1" xfId="0" applyFont="1" applyFill="1" applyBorder="1" applyAlignment="1">
      <alignment horizontal="right"/>
    </xf>
    <xf numFmtId="0" fontId="8" fillId="14" borderId="12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4" xfId="0" applyFont="1" applyFill="1" applyBorder="1" applyAlignment="1">
      <alignment horizontal="center"/>
    </xf>
    <xf numFmtId="4" fontId="0" fillId="7" borderId="8" xfId="0" applyNumberFormat="1" applyFill="1" applyBorder="1" applyAlignment="1">
      <alignment horizontal="right"/>
    </xf>
    <xf numFmtId="4" fontId="0" fillId="7" borderId="9" xfId="0" applyNumberFormat="1" applyFill="1" applyBorder="1" applyAlignment="1">
      <alignment horizontal="right"/>
    </xf>
    <xf numFmtId="4" fontId="0" fillId="7" borderId="10" xfId="0" applyNumberFormat="1" applyFill="1" applyBorder="1" applyAlignment="1">
      <alignment horizontal="right"/>
    </xf>
    <xf numFmtId="4" fontId="0" fillId="7" borderId="12" xfId="0" applyNumberFormat="1" applyFill="1" applyBorder="1" applyAlignment="1"/>
    <xf numFmtId="4" fontId="0" fillId="7" borderId="3" xfId="0" applyNumberFormat="1" applyFill="1" applyBorder="1" applyAlignment="1"/>
    <xf numFmtId="4" fontId="0" fillId="7" borderId="4" xfId="0" applyNumberFormat="1" applyFill="1" applyBorder="1" applyAlignment="1"/>
    <xf numFmtId="4" fontId="0" fillId="7" borderId="11" xfId="0" applyNumberFormat="1" applyFill="1" applyBorder="1" applyAlignment="1"/>
    <xf numFmtId="4" fontId="0" fillId="7" borderId="6" xfId="0" applyNumberFormat="1" applyFill="1" applyBorder="1" applyAlignment="1"/>
    <xf numFmtId="4" fontId="0" fillId="7" borderId="7" xfId="0" applyNumberFormat="1" applyFill="1" applyBorder="1" applyAlignme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topLeftCell="A10" zoomScale="150" zoomScaleNormal="150" workbookViewId="0">
      <selection activeCell="B26" sqref="B26"/>
    </sheetView>
  </sheetViews>
  <sheetFormatPr defaultColWidth="8.85546875" defaultRowHeight="15"/>
  <cols>
    <col min="1" max="1" width="17.28515625" customWidth="1"/>
    <col min="2" max="2" width="17.7109375" customWidth="1"/>
    <col min="3" max="3" width="33.28515625" customWidth="1"/>
    <col min="4" max="4" width="61.140625" customWidth="1"/>
  </cols>
  <sheetData>
    <row r="1" spans="1:4" ht="18.95">
      <c r="A1" s="99" t="s">
        <v>0</v>
      </c>
      <c r="B1" s="100"/>
      <c r="C1" s="100"/>
      <c r="D1" s="101"/>
    </row>
    <row r="2" spans="1:4">
      <c r="A2" s="4"/>
      <c r="B2" s="4"/>
      <c r="C2" s="4"/>
      <c r="D2" s="4"/>
    </row>
    <row r="3" spans="1:4" ht="18.95">
      <c r="A3" s="10" t="s">
        <v>1</v>
      </c>
      <c r="B3" s="73"/>
      <c r="C3" s="5"/>
      <c r="D3" s="5"/>
    </row>
    <row r="4" spans="1:4">
      <c r="A4" s="4"/>
      <c r="B4" s="7">
        <v>8760</v>
      </c>
      <c r="C4" s="4" t="s">
        <v>2</v>
      </c>
      <c r="D4" s="4" t="s">
        <v>3</v>
      </c>
    </row>
    <row r="5" spans="1:4">
      <c r="A5" s="4"/>
      <c r="B5" s="7">
        <v>12</v>
      </c>
      <c r="C5" s="4" t="s">
        <v>4</v>
      </c>
      <c r="D5" s="4" t="s">
        <v>5</v>
      </c>
    </row>
    <row r="6" spans="1:4">
      <c r="A6" s="4"/>
      <c r="B6" s="7">
        <v>52</v>
      </c>
      <c r="C6" s="4" t="s">
        <v>6</v>
      </c>
      <c r="D6" s="4" t="s">
        <v>7</v>
      </c>
    </row>
    <row r="7" spans="1:4">
      <c r="A7" s="4"/>
      <c r="B7" s="7">
        <v>365</v>
      </c>
      <c r="C7" s="4" t="s">
        <v>8</v>
      </c>
      <c r="D7" s="4" t="s">
        <v>9</v>
      </c>
    </row>
    <row r="8" spans="1:4">
      <c r="A8" s="4"/>
      <c r="B8" s="7">
        <v>1000</v>
      </c>
      <c r="C8" s="4" t="s">
        <v>10</v>
      </c>
      <c r="D8" s="4" t="s">
        <v>11</v>
      </c>
    </row>
    <row r="9" spans="1:4">
      <c r="A9" s="4"/>
      <c r="B9" s="7">
        <v>24</v>
      </c>
      <c r="C9" s="4" t="s">
        <v>12</v>
      </c>
      <c r="D9" s="4"/>
    </row>
    <row r="10" spans="1:4">
      <c r="A10" s="4"/>
      <c r="B10" s="4"/>
      <c r="C10" s="4"/>
      <c r="D10" s="4"/>
    </row>
    <row r="11" spans="1:4" ht="18.95">
      <c r="A11" s="10" t="s">
        <v>13</v>
      </c>
      <c r="B11" s="96" t="s">
        <v>14</v>
      </c>
      <c r="C11" s="97"/>
      <c r="D11" s="98"/>
    </row>
    <row r="12" spans="1:4">
      <c r="A12" s="4"/>
      <c r="B12" s="6">
        <v>100</v>
      </c>
      <c r="C12" s="4" t="s">
        <v>15</v>
      </c>
      <c r="D12" s="4" t="s">
        <v>16</v>
      </c>
    </row>
    <row r="13" spans="1:4">
      <c r="A13" s="4"/>
      <c r="B13" s="7">
        <v>0.02</v>
      </c>
      <c r="C13" s="4" t="s">
        <v>17</v>
      </c>
      <c r="D13" s="4" t="s">
        <v>18</v>
      </c>
    </row>
    <row r="14" spans="1:4">
      <c r="A14" s="4"/>
      <c r="B14" s="13">
        <v>3000</v>
      </c>
      <c r="C14" s="12" t="s">
        <v>19</v>
      </c>
      <c r="D14" s="12" t="s">
        <v>20</v>
      </c>
    </row>
    <row r="15" spans="1:4">
      <c r="A15" s="4"/>
      <c r="B15" s="13">
        <v>5000</v>
      </c>
      <c r="C15" s="12" t="s">
        <v>21</v>
      </c>
      <c r="D15" s="12" t="s">
        <v>22</v>
      </c>
    </row>
    <row r="16" spans="1:4">
      <c r="A16" s="4"/>
      <c r="B16" s="13">
        <v>8000</v>
      </c>
      <c r="C16" s="12" t="s">
        <v>23</v>
      </c>
      <c r="D16" s="12" t="s">
        <v>24</v>
      </c>
    </row>
    <row r="17" spans="1:4">
      <c r="A17" s="4"/>
      <c r="B17" s="7"/>
      <c r="C17" s="4"/>
      <c r="D17" s="4"/>
    </row>
    <row r="18" spans="1:4">
      <c r="A18" s="4"/>
      <c r="B18" s="14">
        <v>1.03</v>
      </c>
      <c r="C18" s="12" t="s">
        <v>25</v>
      </c>
      <c r="D18" s="12" t="s">
        <v>26</v>
      </c>
    </row>
    <row r="19" spans="1:4">
      <c r="A19" s="4"/>
      <c r="B19" s="13">
        <v>0.13</v>
      </c>
      <c r="C19" s="12" t="s">
        <v>27</v>
      </c>
      <c r="D19" s="12" t="s">
        <v>28</v>
      </c>
    </row>
    <row r="20" spans="1:4">
      <c r="A20" s="4"/>
      <c r="B20" s="14">
        <v>1.02</v>
      </c>
      <c r="C20" s="12" t="s">
        <v>29</v>
      </c>
      <c r="D20" s="12" t="s">
        <v>30</v>
      </c>
    </row>
    <row r="21" spans="1:4">
      <c r="A21" s="4"/>
      <c r="B21" s="7"/>
      <c r="C21" s="4"/>
      <c r="D21" s="4"/>
    </row>
    <row r="22" spans="1:4">
      <c r="A22" s="4"/>
      <c r="B22" s="7">
        <v>10</v>
      </c>
      <c r="C22" s="4" t="s">
        <v>31</v>
      </c>
      <c r="D22" s="4" t="s">
        <v>32</v>
      </c>
    </row>
    <row r="23" spans="1:4">
      <c r="A23" s="4"/>
      <c r="B23" s="7">
        <v>70</v>
      </c>
      <c r="C23" s="4" t="s">
        <v>33</v>
      </c>
      <c r="D23" s="4" t="s">
        <v>34</v>
      </c>
    </row>
    <row r="24" spans="1:4">
      <c r="A24" s="4"/>
      <c r="B24" s="7"/>
      <c r="C24" s="4"/>
      <c r="D24" s="4"/>
    </row>
    <row r="25" spans="1:4">
      <c r="A25" s="4"/>
      <c r="B25" s="7"/>
      <c r="C25" s="4"/>
      <c r="D25" s="4"/>
    </row>
    <row r="26" spans="1:4">
      <c r="A26" s="4"/>
      <c r="B26" s="7"/>
      <c r="C26" s="4"/>
      <c r="D26" s="4"/>
    </row>
    <row r="27" spans="1:4">
      <c r="A27" s="4"/>
      <c r="B27" s="7"/>
      <c r="C27" s="4"/>
      <c r="D27" s="4"/>
    </row>
  </sheetData>
  <mergeCells count="2">
    <mergeCell ref="B11:D11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5"/>
  <sheetViews>
    <sheetView zoomScale="150" zoomScaleNormal="150" workbookViewId="0">
      <selection sqref="A1:D1"/>
    </sheetView>
  </sheetViews>
  <sheetFormatPr defaultColWidth="8.85546875" defaultRowHeight="15"/>
  <cols>
    <col min="1" max="2" width="14.7109375" customWidth="1"/>
    <col min="3" max="3" width="36.28515625" customWidth="1"/>
    <col min="4" max="4" width="65.42578125" customWidth="1"/>
  </cols>
  <sheetData>
    <row r="1" spans="1:7" ht="18.95">
      <c r="A1" s="102" t="s">
        <v>35</v>
      </c>
      <c r="B1" s="102"/>
      <c r="C1" s="103"/>
      <c r="D1" s="103"/>
    </row>
    <row r="2" spans="1:7" ht="18.95">
      <c r="A2" s="3" t="s">
        <v>36</v>
      </c>
      <c r="B2" s="3"/>
      <c r="C2" s="5"/>
      <c r="D2" s="5"/>
    </row>
    <row r="3" spans="1:7">
      <c r="A3" s="5"/>
      <c r="B3" s="5" t="s">
        <v>37</v>
      </c>
      <c r="C3" s="5" t="s">
        <v>38</v>
      </c>
      <c r="D3" s="5" t="s">
        <v>39</v>
      </c>
    </row>
    <row r="4" spans="1:7" ht="9" customHeight="1">
      <c r="A4" s="7"/>
      <c r="B4" s="7"/>
      <c r="C4" s="12"/>
      <c r="D4" s="12"/>
    </row>
    <row r="5" spans="1:7">
      <c r="A5" s="7"/>
      <c r="B5" s="11">
        <v>25000</v>
      </c>
      <c r="C5" s="12" t="s">
        <v>40</v>
      </c>
      <c r="D5" s="12" t="s">
        <v>41</v>
      </c>
    </row>
    <row r="6" spans="1:7">
      <c r="A6" s="7"/>
      <c r="B6" s="11">
        <v>9000</v>
      </c>
      <c r="C6" s="12" t="s">
        <v>42</v>
      </c>
      <c r="D6" s="12" t="s">
        <v>43</v>
      </c>
    </row>
    <row r="7" spans="1:7">
      <c r="A7" s="7"/>
      <c r="B7" s="11">
        <v>100</v>
      </c>
      <c r="C7" s="12" t="s">
        <v>44</v>
      </c>
      <c r="D7" s="12" t="s">
        <v>45</v>
      </c>
      <c r="G7" t="s">
        <v>46</v>
      </c>
    </row>
    <row r="8" spans="1:7">
      <c r="A8" s="7"/>
      <c r="B8" s="11">
        <v>700</v>
      </c>
      <c r="C8" s="12" t="s">
        <v>47</v>
      </c>
      <c r="D8" s="12" t="s">
        <v>48</v>
      </c>
      <c r="G8" t="s">
        <v>49</v>
      </c>
    </row>
    <row r="9" spans="1:7">
      <c r="A9" s="7"/>
      <c r="B9" s="11">
        <v>200</v>
      </c>
      <c r="C9" s="12" t="s">
        <v>50</v>
      </c>
      <c r="D9" s="12" t="s">
        <v>51</v>
      </c>
    </row>
    <row r="10" spans="1:7" ht="8.25" customHeight="1">
      <c r="A10" s="7"/>
      <c r="B10" s="7"/>
      <c r="C10" s="12"/>
      <c r="D10" s="12"/>
    </row>
    <row r="11" spans="1:7">
      <c r="A11" s="7"/>
      <c r="B11" s="11">
        <v>3800</v>
      </c>
      <c r="C11" s="12" t="s">
        <v>52</v>
      </c>
      <c r="D11" s="12" t="s">
        <v>53</v>
      </c>
    </row>
    <row r="12" spans="1:7">
      <c r="A12" s="7"/>
      <c r="B12" s="11">
        <v>4400</v>
      </c>
      <c r="C12" s="12" t="s">
        <v>54</v>
      </c>
      <c r="D12" s="12" t="s">
        <v>55</v>
      </c>
    </row>
    <row r="13" spans="1:7">
      <c r="A13" s="7"/>
      <c r="B13" s="11">
        <v>2800</v>
      </c>
      <c r="C13" s="12" t="s">
        <v>56</v>
      </c>
      <c r="D13" s="12" t="s">
        <v>57</v>
      </c>
    </row>
    <row r="14" spans="1:7">
      <c r="A14" s="7"/>
      <c r="B14" s="11">
        <v>3800</v>
      </c>
      <c r="C14" s="12" t="s">
        <v>58</v>
      </c>
      <c r="D14" s="12" t="s">
        <v>59</v>
      </c>
    </row>
    <row r="15" spans="1:7">
      <c r="A15" s="7"/>
      <c r="B15" s="11">
        <v>3300</v>
      </c>
      <c r="C15" s="12" t="s">
        <v>60</v>
      </c>
      <c r="D15" s="12" t="s">
        <v>61</v>
      </c>
    </row>
    <row r="16" spans="1:7" ht="9" customHeight="1">
      <c r="A16" s="7"/>
      <c r="B16" s="7"/>
      <c r="C16" s="12"/>
      <c r="D16" s="12"/>
    </row>
    <row r="17" spans="1:4">
      <c r="A17" s="80"/>
      <c r="B17" s="11">
        <v>0.15</v>
      </c>
      <c r="C17" s="12" t="s">
        <v>62</v>
      </c>
      <c r="D17" s="12" t="s">
        <v>63</v>
      </c>
    </row>
    <row r="18" spans="1:4">
      <c r="A18" s="7"/>
      <c r="B18" s="11">
        <v>0.1</v>
      </c>
      <c r="C18" s="12" t="s">
        <v>64</v>
      </c>
      <c r="D18" s="12" t="s">
        <v>65</v>
      </c>
    </row>
    <row r="19" spans="1:4">
      <c r="A19" s="7"/>
      <c r="B19" s="11">
        <v>0.02</v>
      </c>
      <c r="C19" s="12" t="s">
        <v>66</v>
      </c>
      <c r="D19" s="12" t="s">
        <v>67</v>
      </c>
    </row>
    <row r="20" spans="1:4">
      <c r="A20" s="7"/>
      <c r="B20" s="11">
        <v>0.01</v>
      </c>
      <c r="C20" s="12" t="s">
        <v>68</v>
      </c>
      <c r="D20" s="12" t="s">
        <v>69</v>
      </c>
    </row>
    <row r="21" spans="1:4">
      <c r="A21" s="7"/>
      <c r="B21" s="11">
        <v>0.01</v>
      </c>
      <c r="C21" s="12" t="s">
        <v>70</v>
      </c>
      <c r="D21" s="12" t="s">
        <v>71</v>
      </c>
    </row>
    <row r="22" spans="1:4" ht="9.75" customHeight="1">
      <c r="A22" s="7"/>
      <c r="B22" s="11"/>
      <c r="C22" s="12"/>
      <c r="D22" s="12"/>
    </row>
    <row r="23" spans="1:4">
      <c r="A23" s="7"/>
      <c r="B23" s="13">
        <v>900</v>
      </c>
      <c r="C23" s="12" t="s">
        <v>72</v>
      </c>
      <c r="D23" s="12" t="s">
        <v>73</v>
      </c>
    </row>
    <row r="24" spans="1:4">
      <c r="A24" s="7"/>
      <c r="B24" s="13">
        <v>1200</v>
      </c>
      <c r="C24" s="12" t="s">
        <v>74</v>
      </c>
      <c r="D24" s="12" t="s">
        <v>75</v>
      </c>
    </row>
    <row r="25" spans="1:4">
      <c r="A25" s="7"/>
      <c r="B25" s="13">
        <v>500</v>
      </c>
      <c r="C25" s="12" t="s">
        <v>76</v>
      </c>
      <c r="D25" s="12" t="s">
        <v>77</v>
      </c>
    </row>
    <row r="26" spans="1:4">
      <c r="A26" s="7"/>
      <c r="B26" s="13">
        <v>110</v>
      </c>
      <c r="C26" s="12" t="s">
        <v>78</v>
      </c>
      <c r="D26" s="12" t="s">
        <v>79</v>
      </c>
    </row>
    <row r="27" spans="1:4">
      <c r="A27" s="7"/>
      <c r="B27" s="13">
        <v>100</v>
      </c>
      <c r="C27" s="12" t="s">
        <v>80</v>
      </c>
      <c r="D27" s="12" t="s">
        <v>81</v>
      </c>
    </row>
    <row r="28" spans="1:4" ht="8.1" customHeight="1">
      <c r="A28" s="7"/>
      <c r="B28" s="13"/>
      <c r="C28" s="12"/>
      <c r="D28" s="12"/>
    </row>
    <row r="29" spans="1:4">
      <c r="A29" s="7"/>
      <c r="B29" s="14">
        <v>250</v>
      </c>
      <c r="C29" s="12" t="s">
        <v>82</v>
      </c>
      <c r="D29" s="12" t="s">
        <v>83</v>
      </c>
    </row>
    <row r="30" spans="1:4">
      <c r="A30" s="7"/>
      <c r="B30" s="14">
        <v>90</v>
      </c>
      <c r="C30" s="12" t="s">
        <v>84</v>
      </c>
      <c r="D30" s="12" t="s">
        <v>85</v>
      </c>
    </row>
    <row r="31" spans="1:4">
      <c r="A31" s="7"/>
      <c r="B31" s="14">
        <v>1</v>
      </c>
      <c r="C31" s="12" t="s">
        <v>86</v>
      </c>
      <c r="D31" s="12" t="s">
        <v>87</v>
      </c>
    </row>
    <row r="32" spans="1:4">
      <c r="A32" s="7"/>
      <c r="B32" s="14">
        <v>7</v>
      </c>
      <c r="C32" s="12" t="s">
        <v>88</v>
      </c>
      <c r="D32" s="12" t="s">
        <v>89</v>
      </c>
    </row>
    <row r="33" spans="1:4">
      <c r="A33" s="7"/>
      <c r="B33" s="14">
        <v>2</v>
      </c>
      <c r="C33" s="12" t="s">
        <v>90</v>
      </c>
      <c r="D33" s="12" t="s">
        <v>91</v>
      </c>
    </row>
    <row r="34" spans="1:4">
      <c r="A34" s="4"/>
      <c r="B34" s="11"/>
      <c r="C34" s="12"/>
      <c r="D34" s="12"/>
    </row>
    <row r="35" spans="1:4" ht="18.95">
      <c r="A35" s="9" t="s">
        <v>92</v>
      </c>
      <c r="B35" s="33"/>
      <c r="C35" s="5"/>
      <c r="D35" s="5"/>
    </row>
    <row r="36" spans="1:4" ht="17.100000000000001" customHeight="1">
      <c r="A36" s="9"/>
      <c r="B36" s="5" t="s">
        <v>37</v>
      </c>
      <c r="C36" s="5" t="s">
        <v>38</v>
      </c>
      <c r="D36" s="5" t="s">
        <v>39</v>
      </c>
    </row>
    <row r="37" spans="1:4">
      <c r="A37" s="4"/>
      <c r="B37" s="8">
        <v>2.2999999999999998</v>
      </c>
      <c r="C37" s="4" t="s">
        <v>93</v>
      </c>
      <c r="D37" s="4" t="s">
        <v>94</v>
      </c>
    </row>
    <row r="38" spans="1:4">
      <c r="A38" s="4"/>
      <c r="B38" s="8">
        <v>3.1</v>
      </c>
      <c r="C38" s="4" t="s">
        <v>95</v>
      </c>
      <c r="D38" s="4" t="s">
        <v>96</v>
      </c>
    </row>
    <row r="39" spans="1:4">
      <c r="A39" s="4"/>
      <c r="B39" s="8">
        <v>1</v>
      </c>
      <c r="C39" s="4" t="s">
        <v>97</v>
      </c>
      <c r="D39" s="4" t="s">
        <v>98</v>
      </c>
    </row>
    <row r="40" spans="1:4">
      <c r="A40" s="4"/>
      <c r="B40" s="8">
        <v>0.7</v>
      </c>
      <c r="C40" s="4" t="s">
        <v>99</v>
      </c>
      <c r="D40" s="4" t="s">
        <v>100</v>
      </c>
    </row>
    <row r="41" spans="1:4">
      <c r="A41" s="4"/>
      <c r="B41" s="8">
        <v>0.5</v>
      </c>
      <c r="C41" s="4" t="s">
        <v>101</v>
      </c>
      <c r="D41" s="4" t="s">
        <v>102</v>
      </c>
    </row>
    <row r="42" spans="1:4">
      <c r="A42" s="4"/>
      <c r="B42" s="8"/>
      <c r="C42" s="4"/>
      <c r="D42" s="4"/>
    </row>
    <row r="43" spans="1:4">
      <c r="A43" s="4"/>
      <c r="B43" s="8">
        <v>0.75</v>
      </c>
      <c r="C43" s="4" t="s">
        <v>103</v>
      </c>
      <c r="D43" s="4" t="s">
        <v>104</v>
      </c>
    </row>
    <row r="44" spans="1:4">
      <c r="A44" s="4"/>
      <c r="B44" s="8">
        <v>1.25</v>
      </c>
      <c r="C44" s="4" t="s">
        <v>105</v>
      </c>
      <c r="D44" s="4" t="s">
        <v>106</v>
      </c>
    </row>
    <row r="45" spans="1:4">
      <c r="A45" s="4"/>
      <c r="B45" s="8">
        <v>2.25</v>
      </c>
      <c r="C45" s="4" t="s">
        <v>107</v>
      </c>
      <c r="D45" s="4" t="s">
        <v>108</v>
      </c>
    </row>
    <row r="46" spans="1:4">
      <c r="A46" s="4"/>
      <c r="B46" s="8">
        <v>0.5</v>
      </c>
      <c r="C46" s="4" t="s">
        <v>109</v>
      </c>
      <c r="D46" s="4" t="s">
        <v>110</v>
      </c>
    </row>
    <row r="47" spans="1:4">
      <c r="A47" s="4"/>
      <c r="B47" s="8">
        <v>0.5</v>
      </c>
      <c r="C47" s="4" t="s">
        <v>111</v>
      </c>
      <c r="D47" s="4" t="s">
        <v>112</v>
      </c>
    </row>
    <row r="48" spans="1:4">
      <c r="A48" s="4"/>
      <c r="B48" s="6"/>
      <c r="C48" s="4"/>
      <c r="D48" s="4"/>
    </row>
    <row r="49" spans="1:4">
      <c r="A49" s="4"/>
      <c r="B49" s="8">
        <v>365</v>
      </c>
      <c r="C49" s="4" t="s">
        <v>113</v>
      </c>
      <c r="D49" s="4" t="s">
        <v>114</v>
      </c>
    </row>
    <row r="50" spans="1:4">
      <c r="A50" s="4"/>
      <c r="B50" s="8">
        <v>365</v>
      </c>
      <c r="C50" s="4" t="s">
        <v>115</v>
      </c>
      <c r="D50" s="4" t="s">
        <v>116</v>
      </c>
    </row>
    <row r="51" spans="1:4">
      <c r="A51" s="4"/>
      <c r="B51" s="8">
        <v>52</v>
      </c>
      <c r="C51" s="4" t="s">
        <v>117</v>
      </c>
      <c r="D51" s="4" t="s">
        <v>118</v>
      </c>
    </row>
    <row r="52" spans="1:4">
      <c r="A52" s="4"/>
      <c r="B52" s="8">
        <v>26</v>
      </c>
      <c r="C52" s="4" t="s">
        <v>119</v>
      </c>
      <c r="D52" s="4" t="s">
        <v>120</v>
      </c>
    </row>
    <row r="53" spans="1:4">
      <c r="A53" s="4"/>
      <c r="B53" s="8">
        <v>26</v>
      </c>
      <c r="C53" s="4" t="s">
        <v>121</v>
      </c>
      <c r="D53" s="4" t="s">
        <v>122</v>
      </c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61" spans="1:4">
      <c r="D61">
        <f>numA</f>
        <v>0</v>
      </c>
    </row>
    <row r="65" customFormat="1"/>
  </sheetData>
  <mergeCells count="1">
    <mergeCell ref="A1:D1"/>
  </mergeCells>
  <printOptions gridLines="1"/>
  <pageMargins left="0.35" right="0.27" top="0.75" bottom="0.75" header="0.4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"/>
  <sheetViews>
    <sheetView topLeftCell="A2" zoomScale="150" zoomScaleNormal="150" workbookViewId="0">
      <selection activeCell="B51" sqref="B51"/>
    </sheetView>
  </sheetViews>
  <sheetFormatPr defaultColWidth="8.85546875" defaultRowHeight="15"/>
  <cols>
    <col min="1" max="1" width="38" customWidth="1"/>
    <col min="2" max="2" width="17.42578125" customWidth="1"/>
    <col min="3" max="3" width="15" customWidth="1"/>
    <col min="4" max="5" width="17.42578125" customWidth="1"/>
    <col min="6" max="6" width="14.7109375" customWidth="1"/>
    <col min="7" max="7" width="17.42578125" customWidth="1"/>
    <col min="8" max="9" width="13.85546875" bestFit="1" customWidth="1"/>
  </cols>
  <sheetData>
    <row r="1" spans="1:8" ht="21">
      <c r="A1" s="115" t="s">
        <v>123</v>
      </c>
      <c r="B1" s="115"/>
      <c r="C1" s="115"/>
      <c r="D1" s="115"/>
      <c r="E1" s="115"/>
      <c r="F1" s="115"/>
      <c r="G1" s="39"/>
    </row>
    <row r="2" spans="1:8">
      <c r="A2" s="28" t="s">
        <v>124</v>
      </c>
      <c r="B2" s="104" t="s">
        <v>125</v>
      </c>
      <c r="C2" s="105"/>
      <c r="D2" s="105"/>
      <c r="E2" s="105"/>
      <c r="F2" s="106"/>
      <c r="G2" s="107" t="s">
        <v>126</v>
      </c>
    </row>
    <row r="3" spans="1:8">
      <c r="A3" s="24"/>
      <c r="B3" s="28" t="s">
        <v>127</v>
      </c>
      <c r="C3" s="28" t="s">
        <v>128</v>
      </c>
      <c r="D3" s="28" t="s">
        <v>129</v>
      </c>
      <c r="E3" s="28" t="s">
        <v>130</v>
      </c>
      <c r="F3" s="28" t="s">
        <v>131</v>
      </c>
      <c r="G3" s="108"/>
    </row>
    <row r="4" spans="1:8" ht="18.95">
      <c r="A4" s="56" t="s">
        <v>36</v>
      </c>
      <c r="B4" s="15"/>
      <c r="C4" s="15"/>
      <c r="D4" s="15"/>
      <c r="E4" s="15"/>
      <c r="F4" s="15"/>
      <c r="G4" s="15"/>
    </row>
    <row r="5" spans="1:8">
      <c r="A5" s="29" t="s">
        <v>132</v>
      </c>
      <c r="B5" s="79">
        <f>(((serverPowerGroup1 * serverLoadGroup1) / wattsInAKilowatt) * hoursInARealDay * daysInAYear * numServersGroup1) * costkwHYear1</f>
        <v>16227900</v>
      </c>
      <c r="C5" s="79">
        <f>(((serverPowerGroup1 * serverLoadGroup1) / wattsInAKilowatt) * hoursInARealDay * daysInAYear * numServersGroup1) * costkwHYear1 * powerRateIncrease</f>
        <v>16552458</v>
      </c>
      <c r="D5" s="79">
        <f>(((serverPowerGroup1 * serverLoadGroup1) / wattsInAKilowatt) * hoursInARealDay * daysInAYear * numServersGroup1) * costkwHYear1 * powerRateIncrease^2</f>
        <v>16883507.16</v>
      </c>
      <c r="E5" s="79">
        <f>(((serverPowerGroup1 * serverLoadGroup1) / wattsInAKilowatt) * hoursInARealDay * daysInAYear * numServersGroup1) * costkwHYear1 * powerRateIncrease^3</f>
        <v>17221177.303199999</v>
      </c>
      <c r="F5" s="79">
        <f>(((serverPowerGroup1 * serverLoadGroup1) / wattsInAKilowatt) * hoursInARealDay * daysInAYear * numServersGroup1) * costkwHYear1 * powerRateIncrease^4</f>
        <v>17565600.849264</v>
      </c>
      <c r="G5" s="81">
        <f>SUM(B5:F5)</f>
        <v>84450643.312463999</v>
      </c>
      <c r="H5" s="32"/>
    </row>
    <row r="6" spans="1:8">
      <c r="A6" s="29" t="s">
        <v>133</v>
      </c>
      <c r="B6" s="79" cm="1">
        <f t="array" ref="B6">(((serverPowerGroup2 * serverLoadGroup2) / wattsInAKilowatt) * hoursInARealDay * daysInAYear * numServersGroup2) * costkwHYear1</f>
        <v>4509648</v>
      </c>
      <c r="C6" s="79" cm="1">
        <f t="array" ref="C6">(((serverPowerGroup2 * serverLoadGroup2) / wattsInAKilowatt) * hoursInARealDay * daysInAYear * numServersGroup2) * costkwHYear1 * powerRateIncrease</f>
        <v>4599840.96</v>
      </c>
      <c r="D6" s="79" cm="1">
        <f t="array" ref="D6">(((serverPowerGroup2 * serverLoadGroup2) / wattsInAKilowatt) * hoursInARealDay * daysInAYear * numServersGroup2) * costkwHYear1 * powerRateIncrease^2</f>
        <v>4691837.7791999998</v>
      </c>
      <c r="E6" s="79" cm="1">
        <f t="array" ref="E6">(((serverPowerGroup2 * serverLoadGroup2) / wattsInAKilowatt) * hoursInARealDay * daysInAYear * numServersGroup2) * costkwHYear1 * powerRateIncrease^3</f>
        <v>4785674.5347839994</v>
      </c>
      <c r="F6" s="79" cm="1">
        <f t="array" ref="F6">(((serverPowerGroup2 * serverLoadGroup2) / wattsInAKilowatt) * hoursInARealDay * daysInAYear * numServersGroup2) * costkwHYear1 * powerRateIncrease^4</f>
        <v>4881388.0254796799</v>
      </c>
      <c r="G6" s="81">
        <f>SUM(B6:F6)</f>
        <v>23468389.299463682</v>
      </c>
    </row>
    <row r="7" spans="1:8">
      <c r="A7" s="29" t="s">
        <v>134</v>
      </c>
      <c r="B7" s="79" cm="1">
        <f t="array" ref="B7">(((serverPowerGroup3 * serverLoadGroup3) / wattsInAKilowatt) * hoursInARealDay * daysInAYear * numServersGroup3) * costkwHYear1</f>
        <v>6377.2800000000007</v>
      </c>
      <c r="C7" s="79" cm="1">
        <f t="array" ref="C7">(((serverPowerGroup3 * serverLoadGroup3) / wattsInAKilowatt) * hoursInARealDay * daysInAYear * numServersGroup3) * costkwHYear1 * powerRateIncrease</f>
        <v>6504.825600000001</v>
      </c>
      <c r="D7" s="79" cm="1">
        <f t="array" ref="D7">(((serverPowerGroup3 * serverLoadGroup3) / wattsInAKilowatt) * hoursInARealDay * daysInAYear * numServersGroup3) * costkwHYear1 * powerRateIncrease^2</f>
        <v>6634.9221120000002</v>
      </c>
      <c r="E7" s="79" cm="1">
        <f t="array" ref="E7">(((serverPowerGroup3 * serverLoadGroup3) / wattsInAKilowatt) * hoursInARealDay * daysInAYear * numServersGroup3) * costkwHYear1 * powerRateIncrease^3</f>
        <v>6767.6205542400003</v>
      </c>
      <c r="F7" s="79" cm="1">
        <f t="array" ref="F7">(((serverPowerGroup3 * serverLoadGroup3) / wattsInAKilowatt) * hoursInARealDay * daysInAYear * numServersGroup3) * costkwHYear1 * powerRateIncrease^4</f>
        <v>6902.9729653248005</v>
      </c>
      <c r="G7" s="81">
        <f t="shared" ref="G7:G9" si="0">SUM(B7:F7)</f>
        <v>33187.621231564801</v>
      </c>
    </row>
    <row r="8" spans="1:8">
      <c r="A8" s="29" t="s">
        <v>135</v>
      </c>
      <c r="B8" s="79" cm="1">
        <f t="array" ref="B8">(((serverPowerGroup4A * serverLoadGroup4A) / wattsInAKilowatt) * hoursInARealDay * daysInAYear * numServersGroup4A) * costkwHYear1</f>
        <v>30292.080000000002</v>
      </c>
      <c r="C8" s="79" cm="1">
        <f t="array" ref="C8">(((serverPowerGroup4A * serverLoadGroup4A) / wattsInAKilowatt) * hoursInARealDay * daysInAYear * numServersGroup4A) * costkwHYear1 * powerRateIncrease</f>
        <v>30897.921600000001</v>
      </c>
      <c r="D8" s="79" cm="1">
        <f t="array" ref="D8">(((serverPowerGroup4A * serverLoadGroup4A) / wattsInAKilowatt) * hoursInARealDay * daysInAYear * numServersGroup4A) * costkwHYear1 * powerRateIncrease^2</f>
        <v>31515.880032000001</v>
      </c>
      <c r="E8" s="79" cm="1">
        <f t="array" ref="E8">(((serverPowerGroup4A * serverLoadGroup4A) / wattsInAKilowatt) * hoursInARealDay * daysInAYear * numServersGroup4A) * costkwHYear1 * powerRateIncrease^3</f>
        <v>32146.19763264</v>
      </c>
      <c r="F8" s="79" cm="1">
        <f t="array" ref="F8">(((serverPowerGroup4A * serverLoadGroup4A) / wattsInAKilowatt) * hoursInARealDay * daysInAYear * numServersGroup4A) * costkwHYear1 * powerRateIncrease^4</f>
        <v>32789.1215852928</v>
      </c>
      <c r="G8" s="81">
        <f t="shared" si="0"/>
        <v>157641.20084993279</v>
      </c>
    </row>
    <row r="9" spans="1:8">
      <c r="A9" s="29" t="s">
        <v>136</v>
      </c>
      <c r="B9" s="79" cm="1">
        <f t="array" ref="B9">(((serverPowerGroup4B * serverLoadGroup4B) / wattsInAKilowatt) * hoursInARealDay * daysInAYear * numServersGroup4B) * costkwHYear1</f>
        <v>7516.0800000000008</v>
      </c>
      <c r="C9" s="79" cm="1">
        <f t="array" ref="C9">(((serverPowerGroup4B * serverLoadGroup4B) / wattsInAKilowatt) * hoursInARealDay * daysInAYear * numServersGroup4B) * costkwHYear1 * powerRateIncrease</f>
        <v>7666.4016000000011</v>
      </c>
      <c r="D9" s="79" cm="1">
        <f t="array" ref="D9">(((serverPowerGroup4B * serverLoadGroup4B) / wattsInAKilowatt) * hoursInARealDay * daysInAYear * numServersGroup4B) * costkwHYear1 * powerRateIncrease^2</f>
        <v>7819.7296320000005</v>
      </c>
      <c r="E9" s="79" cm="1">
        <f t="array" ref="E9">(((serverPowerGroup4B * serverLoadGroup4B) / wattsInAKilowatt) * hoursInARealDay * daysInAYear * numServersGroup4B) * costkwHYear1 * powerRateIncrease^3</f>
        <v>7976.1242246400006</v>
      </c>
      <c r="F9" s="79" cm="1">
        <f t="array" ref="F9">(((serverPowerGroup4B * serverLoadGroup4B) / wattsInAKilowatt) * hoursInARealDay * daysInAYear * numServersGroup4B) * costkwHYear1 * powerRateIncrease^4</f>
        <v>8135.6467091328004</v>
      </c>
      <c r="G9" s="81">
        <f t="shared" si="0"/>
        <v>39113.982165772803</v>
      </c>
    </row>
    <row r="10" spans="1:8">
      <c r="A10" s="37" t="s">
        <v>137</v>
      </c>
      <c r="B10" s="38">
        <f>SUM(B5:B9)</f>
        <v>20781733.439999998</v>
      </c>
      <c r="C10" s="38">
        <f>SUM(C5:C9)</f>
        <v>21197368.108799998</v>
      </c>
      <c r="D10" s="38">
        <f>SUM(D5:D9)</f>
        <v>21621315.470975999</v>
      </c>
      <c r="E10" s="38">
        <f>SUM(E5:E9)</f>
        <v>22053741.780395519</v>
      </c>
      <c r="F10" s="38">
        <f>SUM(F5:F9)</f>
        <v>22494816.616003431</v>
      </c>
      <c r="G10" s="82">
        <f>SUM(G5:G9)</f>
        <v>108148975.41617496</v>
      </c>
      <c r="H10" s="70"/>
    </row>
    <row r="11" spans="1:8" ht="14.25" customHeight="1">
      <c r="A11" s="104"/>
      <c r="B11" s="105"/>
      <c r="C11" s="105"/>
      <c r="D11" s="105"/>
      <c r="E11" s="105"/>
      <c r="F11" s="106"/>
      <c r="G11" s="24"/>
      <c r="H11" s="32"/>
    </row>
    <row r="12" spans="1:8">
      <c r="A12" s="29" t="s">
        <v>138</v>
      </c>
      <c r="B12" s="83">
        <f>(numServersGroup1 / 100) * maintenanceCostYear1Group1</f>
        <v>225000</v>
      </c>
      <c r="C12" s="79" cm="1">
        <f t="array" ref="C12">(numServersGroup1 / 100) * maintenanceCostYear1Group1 * serverMaintenanceRateIncrease</f>
        <v>231750</v>
      </c>
      <c r="D12" s="79" cm="1">
        <f t="array" ref="D12">(numServersGroup1 / 100) * maintenanceCostYear1Group1 * serverMaintenanceRateIncrease^2</f>
        <v>238702.5</v>
      </c>
      <c r="E12" s="79" cm="1">
        <f t="array" ref="E12">(numServersGroup1 / 100) * maintenanceCostYear1Group1 * serverMaintenanceRateIncrease^3</f>
        <v>245863.57500000001</v>
      </c>
      <c r="F12" s="79" cm="1">
        <f t="array" ref="F12">(numServersGroup1 / 100) * maintenanceCostYear1Group1 * serverMaintenanceRateIncrease^4</f>
        <v>253239.48224999997</v>
      </c>
      <c r="G12" s="81">
        <f>SUM(B12:F12)</f>
        <v>1194555.5572499998</v>
      </c>
    </row>
    <row r="13" spans="1:8">
      <c r="A13" s="29" t="s">
        <v>139</v>
      </c>
      <c r="B13" s="79" cm="1">
        <f t="array" ref="B13">(numServersGroup2 / 100) * maintenanceCostYear1Group2</f>
        <v>108000</v>
      </c>
      <c r="C13" s="79" cm="1">
        <f t="array" ref="C13">(numServersGroup2 / 100) * maintenanceCostYear1Group2 * serverMaintenanceRateIncrease</f>
        <v>111240</v>
      </c>
      <c r="D13" s="79" cm="1">
        <f t="array" ref="D13">(numServersGroup2 / 100) * maintenanceCostYear1Group2 * serverMaintenanceRateIncrease^2</f>
        <v>114577.2</v>
      </c>
      <c r="E13" s="79" cm="1">
        <f t="array" ref="E13">(numServersGroup2 / 100) * maintenanceCostYear1Group2 * serverMaintenanceRateIncrease^3</f>
        <v>118014.516</v>
      </c>
      <c r="F13" s="79" cm="1">
        <f t="array" ref="F13">(numServersGroup2 / 100) * maintenanceCostYear1Group2 * serverMaintenanceRateIncrease^4</f>
        <v>121554.95147999999</v>
      </c>
      <c r="G13" s="81">
        <f>SUM(B13:F13)</f>
        <v>573386.66748000006</v>
      </c>
      <c r="H13" s="32"/>
    </row>
    <row r="14" spans="1:8">
      <c r="A14" s="29" t="s">
        <v>140</v>
      </c>
      <c r="B14" s="79" cm="1">
        <f t="array" ref="B14">(numServersGroup3 / 100) * maintenanceCostYear1Group3</f>
        <v>500</v>
      </c>
      <c r="C14" s="79" cm="1">
        <f t="array" ref="C14">(numServersGroup3 / 100) * maintenanceCostYear1Group3 * serverMaintenanceRateIncrease</f>
        <v>515</v>
      </c>
      <c r="D14" s="79" cm="1">
        <f t="array" ref="D14">(numServersGroup3 / 100) * maintenanceCostYear1Group3 * serverMaintenanceRateIncrease^2</f>
        <v>530.44999999999993</v>
      </c>
      <c r="E14" s="79" cm="1">
        <f t="array" ref="E14">(numServersGroup3 / 100) * maintenanceCostYear1Group3 * serverMaintenanceRateIncrease^3</f>
        <v>546.36350000000004</v>
      </c>
      <c r="F14" s="79" cm="1">
        <f t="array" ref="F14">(numServersGroup3 / 100) * maintenanceCostYear1Group3 * serverMaintenanceRateIncrease^4</f>
        <v>562.75440499999991</v>
      </c>
      <c r="G14" s="81">
        <f>SUM(B14:F14)</f>
        <v>2654.5679049999999</v>
      </c>
    </row>
    <row r="15" spans="1:8">
      <c r="A15" s="29" t="s">
        <v>141</v>
      </c>
      <c r="B15" s="79" cm="1">
        <f t="array" ref="B15">(numServersGroup4A / 100) * maintenanceCostYear1Group4A</f>
        <v>770</v>
      </c>
      <c r="C15" s="79" cm="1">
        <f t="array" ref="C15">(numServersGroup4A / 100) * maintenanceCostYear1Group4A * serverMaintenanceRateIncrease</f>
        <v>793.1</v>
      </c>
      <c r="D15" s="79" cm="1">
        <f t="array" ref="D15">(numServersGroup4A / 100) * maintenanceCostYear1Group4A * serverMaintenanceRateIncrease^2</f>
        <v>816.89299999999992</v>
      </c>
      <c r="E15" s="79" cm="1">
        <f t="array" ref="E15">(numServersGroup4A / 100) * maintenanceCostYear1Group4A * serverMaintenanceRateIncrease^3</f>
        <v>841.39979000000005</v>
      </c>
      <c r="F15" s="79" cm="1">
        <f t="array" ref="F15">(numServersGroup4A / 100) * maintenanceCostYear1Group4A * serverMaintenanceRateIncrease^4</f>
        <v>866.64178369999991</v>
      </c>
      <c r="G15" s="81">
        <f>SUM(B15:F15)</f>
        <v>4088.0345736999998</v>
      </c>
    </row>
    <row r="16" spans="1:8">
      <c r="A16" s="29" t="s">
        <v>142</v>
      </c>
      <c r="B16" s="79" cm="1">
        <f t="array" ref="B16">(numServersGroup4B / 100) * maintenanceCostYear1Group4B</f>
        <v>200</v>
      </c>
      <c r="C16" s="79" cm="1">
        <f t="array" ref="C16">(numServersGroup4B / 100) * maintenanceCostYear1Group4B * serverMaintenanceRateIncrease</f>
        <v>206</v>
      </c>
      <c r="D16" s="79" cm="1">
        <f t="array" ref="D16">(numServersGroup4B / 100) * maintenanceCostYear1Group4B * serverMaintenanceRateIncrease^2</f>
        <v>212.17999999999998</v>
      </c>
      <c r="E16" s="79" cm="1">
        <f t="array" ref="E16">(numServersGroup4B / 100) * maintenanceCostYear1Group4B * serverMaintenanceRateIncrease^3</f>
        <v>218.5454</v>
      </c>
      <c r="F16" s="79" cm="1">
        <f t="array" ref="F16">(numServersGroup4B / 100) * maintenanceCostYear1Group4B * serverMaintenanceRateIncrease^4</f>
        <v>225.10176199999998</v>
      </c>
      <c r="G16" s="81">
        <f>SUM(B16:F16)</f>
        <v>1061.8271619999998</v>
      </c>
    </row>
    <row r="17" spans="1:9">
      <c r="A17" s="37" t="s">
        <v>143</v>
      </c>
      <c r="B17" s="84">
        <f>SUM(B12:B16)</f>
        <v>334470</v>
      </c>
      <c r="C17" s="84">
        <f>SUM(C12:C16)</f>
        <v>344504.1</v>
      </c>
      <c r="D17" s="84">
        <f>SUM(D12:D16)</f>
        <v>354839.223</v>
      </c>
      <c r="E17" s="84">
        <f>SUM(E12:E16)</f>
        <v>365484.39968999999</v>
      </c>
      <c r="F17" s="84">
        <f>SUM(F12:F16)</f>
        <v>376448.93168069993</v>
      </c>
      <c r="G17" s="82">
        <f>SUM(G12:G16)</f>
        <v>1775746.6543706998</v>
      </c>
    </row>
    <row r="18" spans="1:9" ht="15.75" customHeight="1">
      <c r="A18" s="104"/>
      <c r="B18" s="105"/>
      <c r="C18" s="105"/>
      <c r="D18" s="105"/>
      <c r="E18" s="105"/>
      <c r="F18" s="106"/>
      <c r="G18" s="24"/>
    </row>
    <row r="19" spans="1:9">
      <c r="A19" s="29" t="s">
        <v>144</v>
      </c>
      <c r="B19" s="79" cm="1">
        <f t="array" ref="B19">securityFirmMonthlyCharge * 12</f>
        <v>36000</v>
      </c>
      <c r="C19" s="79" cm="1">
        <f t="array" ref="C19">securityFirmMonthlyCharge * 12</f>
        <v>36000</v>
      </c>
      <c r="D19" s="79" cm="1">
        <f t="array" ref="D19">securityFirmMonthlyCharge * 12</f>
        <v>36000</v>
      </c>
      <c r="E19" s="79" cm="1">
        <f t="array" ref="E19">securityFirmMonthlyCharge * 12</f>
        <v>36000</v>
      </c>
      <c r="F19" s="79" cm="1">
        <f t="array" ref="F19">securityFirmMonthlyCharge * 12</f>
        <v>36000</v>
      </c>
      <c r="G19" s="81">
        <f>SUM(B19:F19)</f>
        <v>180000</v>
      </c>
    </row>
    <row r="20" spans="1:9">
      <c r="A20" s="29" t="s">
        <v>145</v>
      </c>
      <c r="B20" s="79" cm="1">
        <f t="array" ref="B20">dataStorageMonthlyChargeYears1And2 * 12</f>
        <v>60000</v>
      </c>
      <c r="C20" s="79" cm="1">
        <f t="array" ref="C20">dataStorageMonthlyChargeYears1And2 * 12</f>
        <v>60000</v>
      </c>
      <c r="D20" s="79" cm="1">
        <f t="array" ref="D20">dataStorageMonthlyChargeYears3Thru5 * 12</f>
        <v>96000</v>
      </c>
      <c r="E20" s="79" cm="1">
        <f t="array" ref="E20">dataStorageMonthlyChargeYears3Thru5 * 12</f>
        <v>96000</v>
      </c>
      <c r="F20" s="79" cm="1">
        <f t="array" ref="F20">dataStorageMonthlyChargeYears3Thru5 * 12</f>
        <v>96000</v>
      </c>
      <c r="G20" s="81">
        <f>SUM(B20:F20)</f>
        <v>408000</v>
      </c>
    </row>
    <row r="21" spans="1:9" ht="15.75" customHeight="1">
      <c r="A21" s="104"/>
      <c r="B21" s="105"/>
      <c r="C21" s="105"/>
      <c r="D21" s="105"/>
      <c r="E21" s="105"/>
      <c r="F21" s="106"/>
      <c r="G21" s="40"/>
    </row>
    <row r="22" spans="1:9">
      <c r="A22" s="50" t="s">
        <v>146</v>
      </c>
      <c r="B22" s="84">
        <f>SUM(B10,B17,B19:B20)</f>
        <v>21212203.439999998</v>
      </c>
      <c r="C22" s="84">
        <f>SUM(C10,C17,C19:C20)</f>
        <v>21637872.208799999</v>
      </c>
      <c r="D22" s="84">
        <f>SUM(D10,D17,D19:D20)</f>
        <v>22108154.693976</v>
      </c>
      <c r="E22" s="84">
        <f t="shared" ref="D22:F22" si="1">SUM(E10,E17,E19:E20)</f>
        <v>22551226.180085517</v>
      </c>
      <c r="F22" s="84">
        <f t="shared" si="1"/>
        <v>23003265.547684133</v>
      </c>
      <c r="G22" s="82">
        <f>SUM(B22:F22)</f>
        <v>110512722.07054564</v>
      </c>
      <c r="I22" s="32"/>
    </row>
    <row r="23" spans="1:9" ht="14.25" customHeight="1">
      <c r="A23" s="34"/>
      <c r="B23" s="35"/>
      <c r="C23" s="35"/>
      <c r="D23" s="35"/>
      <c r="E23" s="35"/>
      <c r="F23" s="35"/>
      <c r="G23" s="28"/>
    </row>
    <row r="24" spans="1:9">
      <c r="A24" s="36" t="s">
        <v>147</v>
      </c>
      <c r="B24" s="82">
        <f>SUM(B22:F22)</f>
        <v>110512722.07054564</v>
      </c>
      <c r="C24" s="51"/>
      <c r="D24" s="52"/>
      <c r="E24" s="52"/>
      <c r="F24" s="53"/>
      <c r="G24" s="24"/>
    </row>
    <row r="25" spans="1:9">
      <c r="A25" s="104"/>
      <c r="B25" s="105"/>
      <c r="C25" s="105"/>
      <c r="D25" s="105"/>
      <c r="E25" s="105"/>
      <c r="F25" s="106"/>
      <c r="G25" s="24"/>
    </row>
    <row r="26" spans="1:9" ht="18.95">
      <c r="A26" s="56" t="s">
        <v>92</v>
      </c>
      <c r="B26" s="15"/>
      <c r="C26" s="15"/>
      <c r="D26" s="15"/>
      <c r="E26" s="15"/>
      <c r="F26" s="15"/>
      <c r="G26" s="15"/>
    </row>
    <row r="27" spans="1:9">
      <c r="A27" s="29" t="s">
        <v>148</v>
      </c>
      <c r="B27" s="85">
        <f>weeksAdministrativeTimeGroup1 * hoursInAWeek * administrativeCostPerHourYear1 * numServersGroup1</f>
        <v>402500000</v>
      </c>
      <c r="C27" s="85" cm="1">
        <f t="array" ref="C27">weeksAdministrativeTimeGroup1 * hoursInAWeek * administrativeCostPerHourYear1 * numServersGroup1 * (1 + administrativeRateIncrease)</f>
        <v>410550000</v>
      </c>
      <c r="D27" s="85" cm="1">
        <f t="array" ref="D27">weeksAdministrativeTimeGroup1 * hoursInAWeek * administrativeCostPerHourYear1 * numServersGroup1 * (1 + administrativeRateIncrease)^2</f>
        <v>418761000</v>
      </c>
      <c r="E27" s="85" cm="1">
        <f t="array" ref="E27">weeksAdministrativeTimeGroup1 * hoursInAWeek * administrativeCostPerHourYear1 * numServersGroup1 * (1 + administrativeRateIncrease)^3</f>
        <v>427136220</v>
      </c>
      <c r="F27" s="85" cm="1">
        <f t="array" ref="F27">weeksAdministrativeTimeGroup1 * hoursInAWeek * administrativeCostPerHourYear1 * numServersGroup1 * (1 + administrativeRateIncrease)^4</f>
        <v>435678944.39999998</v>
      </c>
      <c r="G27" s="81">
        <f>SUM(B27:F27)</f>
        <v>2094626164.4000001</v>
      </c>
    </row>
    <row r="28" spans="1:9">
      <c r="A28" s="29" t="s">
        <v>149</v>
      </c>
      <c r="B28" s="85" cm="1">
        <f t="array" ref="B28">weeksAdministrativeTimeGroup2 * hoursInAWeek * administrativeCostPerHourYear1 * numServersGroup2</f>
        <v>195300000</v>
      </c>
      <c r="C28" s="85" cm="1">
        <f t="array" ref="C28">weeksAdministrativeTimeGroup2 * hoursInAWeek * administrativeCostPerHourYear1 * numServersGroup2 * (1 + administrativeRateIncrease)</f>
        <v>199206000</v>
      </c>
      <c r="D28" s="85" cm="1">
        <f t="array" ref="D28">weeksAdministrativeTimeGroup2 * hoursInAWeek * administrativeCostPerHourYear1 * numServersGroup2 * (1 + administrativeRateIncrease)^2</f>
        <v>203190120</v>
      </c>
      <c r="E28" s="85" cm="1">
        <f t="array" ref="E28">weeksAdministrativeTimeGroup2 * hoursInAWeek * administrativeCostPerHourYear1 * numServersGroup2 * (1 + administrativeRateIncrease)^3</f>
        <v>207253922.39999998</v>
      </c>
      <c r="F28" s="85" cm="1">
        <f t="array" ref="F28">weeksAdministrativeTimeGroup2 * hoursInAWeek * administrativeCostPerHourYear1 * numServersGroup2 * (1 + administrativeRateIncrease)^4</f>
        <v>211399000.84799999</v>
      </c>
      <c r="G28" s="81">
        <f>SUM(B28:F28)</f>
        <v>1016349043.2479999</v>
      </c>
    </row>
    <row r="29" spans="1:9">
      <c r="A29" s="29" t="s">
        <v>150</v>
      </c>
      <c r="B29" s="85" cm="1">
        <f t="array" ref="B29">weeksAdministrativeTimeGroup3 * hoursInAWeek * administrativeCostPerHourYear1 * numServersGroup3</f>
        <v>700000</v>
      </c>
      <c r="C29" s="85" cm="1">
        <f t="array" ref="C29">weeksAdministrativeTimeGroup3 * hoursInAWeek * administrativeCostPerHourYear1 * numServersGroup3 * (1 + administrativeRateIncrease)</f>
        <v>714000</v>
      </c>
      <c r="D29" s="85" cm="1">
        <f t="array" ref="D29">weeksAdministrativeTimeGroup3 * hoursInAWeek * administrativeCostPerHourYear1 * numServersGroup3 * (1 + administrativeRateIncrease)^2</f>
        <v>728280</v>
      </c>
      <c r="E29" s="85" cm="1">
        <f t="array" ref="E29">weeksAdministrativeTimeGroup3 * hoursInAWeek * administrativeCostPerHourYear1 * numServersGroup3 * (1 + administrativeRateIncrease)^3</f>
        <v>742845.6</v>
      </c>
      <c r="F29" s="85" cm="1">
        <f t="array" ref="F29">weeksAdministrativeTimeGroup3 * hoursInAWeek * administrativeCostPerHourYear1 * numServersGroup3 * (1 + administrativeRateIncrease)^4</f>
        <v>757702.51199999999</v>
      </c>
      <c r="G29" s="81">
        <f>SUM(B29:F29)</f>
        <v>3642828.1120000002</v>
      </c>
    </row>
    <row r="30" spans="1:9">
      <c r="A30" s="29" t="s">
        <v>151</v>
      </c>
      <c r="B30" s="85" cm="1">
        <f t="array" ref="B30">weeksAdministrativeTImeGroup4A * hoursInAWeek * administrativeCostPerHourYear1 * numServersGroup4A</f>
        <v>3430000</v>
      </c>
      <c r="C30" s="85" cm="1">
        <f t="array" ref="C30">weeksAdministrativeTImeGroup4A * hoursInAWeek * administrativeCostPerHourYear1 * numServersGroup4A * (1 + administrativeRateIncrease)</f>
        <v>3498600</v>
      </c>
      <c r="D30" s="85" cm="1">
        <f t="array" ref="D30">weeksAdministrativeTImeGroup4A * hoursInAWeek * administrativeCostPerHourYear1 * numServersGroup4A * (1 + administrativeRateIncrease)^2</f>
        <v>3568572</v>
      </c>
      <c r="E30" s="85" cm="1">
        <f t="array" ref="E30">weeksAdministrativeTImeGroup4A * hoursInAWeek * administrativeCostPerHourYear1 * numServersGroup4A * (1 + administrativeRateIncrease)^3</f>
        <v>3639943.44</v>
      </c>
      <c r="F30" s="85" cm="1">
        <f t="array" ref="F30">weeksAdministrativeTImeGroup4A * hoursInAWeek * administrativeCostPerHourYear1 * numServersGroup4A * (1 + administrativeRateIncrease)^4</f>
        <v>3712742.3087999998</v>
      </c>
      <c r="G30" s="81">
        <f>SUM(B30:F30)</f>
        <v>17849857.748799998</v>
      </c>
    </row>
    <row r="31" spans="1:9">
      <c r="A31" s="29" t="s">
        <v>152</v>
      </c>
      <c r="B31" s="85" cm="1">
        <f t="array" ref="B31">weeksAdministrativeTImeGroup4B * hoursInAWeek * administrativeCostPerHourYear1 * numServersGroup4B</f>
        <v>700000</v>
      </c>
      <c r="C31" s="85" cm="1">
        <f t="array" ref="C31">weeksAdministrativeTImeGroup4B * hoursInAWeek * administrativeCostPerHourYear1 * numServersGroup4B * (1 + administrativeRateIncrease)</f>
        <v>714000</v>
      </c>
      <c r="D31" s="85" cm="1">
        <f t="array" ref="D31">weeksAdministrativeTImeGroup4B * hoursInAWeek * administrativeCostPerHourYear1 * numServersGroup4B * (1 + administrativeRateIncrease)^2</f>
        <v>728280</v>
      </c>
      <c r="E31" s="85" cm="1">
        <f t="array" ref="E31">weeksAdministrativeTImeGroup4B * hoursInAWeek * administrativeCostPerHourYear1 * numServersGroup4B * (1 + administrativeRateIncrease)^3</f>
        <v>742845.6</v>
      </c>
      <c r="F31" s="85" cm="1">
        <f t="array" ref="F31">weeksAdministrativeTImeGroup4B * hoursInAWeek * administrativeCostPerHourYear1 * numServersGroup4B * (1 + administrativeRateIncrease)^4</f>
        <v>757702.51199999999</v>
      </c>
      <c r="G31" s="81">
        <f>SUM(B31:F31)</f>
        <v>3642828.1120000002</v>
      </c>
    </row>
    <row r="32" spans="1:9">
      <c r="A32" s="46" t="s">
        <v>153</v>
      </c>
      <c r="B32" s="86">
        <f>SUM(B27:B31)</f>
        <v>602630000</v>
      </c>
      <c r="C32" s="86">
        <f>SUM(C27:C31)</f>
        <v>614682600</v>
      </c>
      <c r="D32" s="86">
        <f>SUM(D27:D31)</f>
        <v>626976252</v>
      </c>
      <c r="E32" s="86">
        <f>SUM(E27:E31)</f>
        <v>639515777.04000008</v>
      </c>
      <c r="F32" s="86">
        <f>SUM(F27:F31)</f>
        <v>652306092.58079982</v>
      </c>
      <c r="G32" s="82">
        <f>SUM(B32:F32)</f>
        <v>3136110721.6208</v>
      </c>
      <c r="H32" s="32"/>
      <c r="I32" s="32"/>
    </row>
    <row r="33" spans="1:9" ht="9.75" customHeight="1">
      <c r="A33" s="109"/>
      <c r="B33" s="110"/>
      <c r="C33" s="110"/>
      <c r="D33" s="110"/>
      <c r="E33" s="110"/>
      <c r="F33" s="110"/>
      <c r="G33" s="111"/>
    </row>
    <row r="34" spans="1:9" ht="0.75" customHeight="1">
      <c r="A34" s="112"/>
      <c r="B34" s="113"/>
      <c r="C34" s="113"/>
      <c r="D34" s="113"/>
      <c r="E34" s="113"/>
      <c r="F34" s="113"/>
      <c r="G34" s="114"/>
    </row>
    <row r="35" spans="1:9">
      <c r="A35" s="29" t="s">
        <v>154</v>
      </c>
      <c r="B35" s="85" cm="1">
        <f t="array" ref="B35">hoursPerBackupGroup1 * numberOfBackupsPerYearGroup1 * numServersGroup1</f>
        <v>6843750</v>
      </c>
      <c r="C35" s="85" cm="1">
        <f t="array" ref="C35">hoursPerBackupGroup1 * numberOfBackupsPerYearGroup1 * numServersGroup1 * (1 + administrativeRateIncrease)^1</f>
        <v>6980625</v>
      </c>
      <c r="D35" s="85" cm="1">
        <f t="array" ref="D35">hoursPerBackupGroup1 * numberOfBackupsPerYearGroup1 * numServersGroup1 * (1 + administrativeRateIncrease)^2</f>
        <v>7120237.5</v>
      </c>
      <c r="E35" s="85" cm="1">
        <f t="array" ref="E35">hoursPerBackupGroup1 * numberOfBackupsPerYearGroup1 * numServersGroup1 * (1 + administrativeRateIncrease)^3</f>
        <v>7262642.2499999991</v>
      </c>
      <c r="F35" s="85" cm="1">
        <f t="array" ref="F35">hoursPerBackupGroup1 * numberOfBackupsPerYearGroup1 * numServersGroup1 * (1 + administrativeRateIncrease)^4</f>
        <v>7407895.0949999997</v>
      </c>
      <c r="G35" s="81">
        <f>SUM(B35:F35)</f>
        <v>35615149.844999999</v>
      </c>
    </row>
    <row r="36" spans="1:9">
      <c r="A36" s="29" t="s">
        <v>155</v>
      </c>
      <c r="B36" s="85" cm="1">
        <f t="array" ref="B36">hoursPerBackupGroup2 * numberOfBackupsPerYearGroup2 * numServersGroup2</f>
        <v>4106250</v>
      </c>
      <c r="C36" s="85" cm="1">
        <f t="array" ref="C36">hoursPerBackupGroup2 * numberOfBackupsPerYearGroup2 * numServersGroup2 * (1 + administrativeRateIncrease)^1</f>
        <v>4188375</v>
      </c>
      <c r="D36" s="85" cm="1">
        <f t="array" ref="D36">hoursPerBackupGroup2 * numberOfBackupsPerYearGroup2 * numServersGroup2 * (1 + administrativeRateIncrease)^2</f>
        <v>4272142.5</v>
      </c>
      <c r="E36" s="85" cm="1">
        <f t="array" ref="E36">hoursPerBackupGroup2 * numberOfBackupsPerYearGroup2 * numServersGroup2 * (1 + administrativeRateIncrease)^3</f>
        <v>4357585.3499999996</v>
      </c>
      <c r="F36" s="85" cm="1">
        <f t="array" ref="F36">hoursPerBackupGroup2 * numberOfBackupsPerYearGroup2 * numServersGroup2 * (1 + administrativeRateIncrease)^4</f>
        <v>4444737.057</v>
      </c>
      <c r="G36" s="81">
        <f>SUM(B36:F36)</f>
        <v>21369089.907000002</v>
      </c>
    </row>
    <row r="37" spans="1:9">
      <c r="A37" s="29" t="s">
        <v>156</v>
      </c>
      <c r="B37" s="85" cm="1">
        <f t="array" ref="B37">hoursPerBackupGroup3 * numberOfBackupsPerYearGroup3 * numServersGroup3</f>
        <v>11700</v>
      </c>
      <c r="C37" s="85" cm="1">
        <f t="array" ref="C37">hoursPerBackupGroup3 * numberOfBackupsPerYearGroup3 * numServersGroup3 * (1 + administrativeRateIncrease)^1</f>
        <v>11934</v>
      </c>
      <c r="D37" s="85" cm="1">
        <f t="array" ref="D37">hoursPerBackupGroup3 * numberOfBackupsPerYearGroup3 * numServersGroup3 * (1 + administrativeRateIncrease)^2</f>
        <v>12172.68</v>
      </c>
      <c r="E37" s="85" cm="1">
        <f t="array" ref="E37">hoursPerBackupGroup3 * numberOfBackupsPerYearGroup3 * numServersGroup3 * (1 + administrativeRateIncrease)^3</f>
        <v>12416.133599999999</v>
      </c>
      <c r="F37" s="85" cm="1">
        <f t="array" ref="F37">hoursPerBackupGroup3 * numberOfBackupsPerYearGroup3 * numServersGroup3 * (1 + administrativeRateIncrease)^4</f>
        <v>12664.456271999999</v>
      </c>
      <c r="G37" s="81">
        <f>SUM(B37:F37)</f>
        <v>60887.269872000004</v>
      </c>
    </row>
    <row r="38" spans="1:9">
      <c r="A38" s="29" t="s">
        <v>157</v>
      </c>
      <c r="B38" s="85" cm="1">
        <f t="array" ref="B38">hoursPerBackupGroup4A * numberOfBackupsPerYearGroup4A * numServersGroup4A</f>
        <v>9100</v>
      </c>
      <c r="C38" s="85" cm="1">
        <f t="array" ref="C38">hoursPerBackupGroup4A * numberOfBackupsPerYearGroup4A * numServersGroup4A * (1 + administrativeRateIncrease)^1</f>
        <v>9282</v>
      </c>
      <c r="D38" s="85" cm="1">
        <f t="array" ref="D38">hoursPerBackupGroup4A * numberOfBackupsPerYearGroup4A * numServersGroup4A * (1 + administrativeRateIncrease)^2</f>
        <v>9467.64</v>
      </c>
      <c r="E38" s="85" cm="1">
        <f t="array" ref="E38">hoursPerBackupGroup4A * numberOfBackupsPerYearGroup4A * numServersGroup4A * (1 + administrativeRateIncrease)^3</f>
        <v>9656.9928</v>
      </c>
      <c r="F38" s="85" cm="1">
        <f t="array" ref="F38">hoursPerBackupGroup4A * numberOfBackupsPerYearGroup4A * numServersGroup4A * (1 + administrativeRateIncrease)^4</f>
        <v>9850.1326559999998</v>
      </c>
      <c r="G38" s="81">
        <f>SUM(B38:F38)</f>
        <v>47356.765456000001</v>
      </c>
    </row>
    <row r="39" spans="1:9">
      <c r="A39" s="29" t="s">
        <v>158</v>
      </c>
      <c r="B39" s="85" cm="1">
        <f t="array" ref="B39">hoursPerBackupGroup4B * numberOfBackupsPerYearGroup4B * numServersGroup4B</f>
        <v>2600</v>
      </c>
      <c r="C39" s="85" cm="1">
        <f t="array" ref="C39">hoursPerBackupGroup4B * numberOfBackupsPerYearGroup4B * numServersGroup4B * (1 + administrativeRateIncrease)^1</f>
        <v>2652</v>
      </c>
      <c r="D39" s="85" cm="1">
        <f t="array" ref="D39">hoursPerBackupGroup4B * numberOfBackupsPerYearGroup4B * numServersGroup4B * (1 + administrativeRateIncrease)^2</f>
        <v>2705.04</v>
      </c>
      <c r="E39" s="85" cm="1">
        <f t="array" ref="E39">hoursPerBackupGroup4B * numberOfBackupsPerYearGroup4B * numServersGroup4B * (1 + administrativeRateIncrease)^3</f>
        <v>2759.1407999999997</v>
      </c>
      <c r="F39" s="85" cm="1">
        <f t="array" ref="F39">hoursPerBackupGroup4B * numberOfBackupsPerYearGroup4B * numServersGroup4B * (1 + administrativeRateIncrease)^4</f>
        <v>2814.3236160000001</v>
      </c>
      <c r="G39" s="81">
        <f>SUM(B39:F39)</f>
        <v>13530.504416</v>
      </c>
    </row>
    <row r="40" spans="1:9">
      <c r="A40" s="46" t="s">
        <v>159</v>
      </c>
      <c r="B40" s="86">
        <f>SUM(B35:B39)</f>
        <v>10973400</v>
      </c>
      <c r="C40" s="86">
        <f>SUM(C35:C39)</f>
        <v>11192868</v>
      </c>
      <c r="D40" s="86">
        <f>SUM(D35:D39)</f>
        <v>11416725.359999999</v>
      </c>
      <c r="E40" s="86">
        <f>SUM(E35:E39)</f>
        <v>11645059.867199996</v>
      </c>
      <c r="F40" s="86">
        <f>SUM(F35:F39)</f>
        <v>11877961.064544</v>
      </c>
      <c r="G40" s="82">
        <f>SUM(B40:F40)</f>
        <v>57106014.291743994</v>
      </c>
      <c r="H40" s="32"/>
    </row>
    <row r="41" spans="1:9">
      <c r="A41" s="104"/>
      <c r="B41" s="105"/>
      <c r="C41" s="105"/>
      <c r="D41" s="105"/>
      <c r="E41" s="105"/>
      <c r="F41" s="106"/>
      <c r="G41" s="40"/>
    </row>
    <row r="42" spans="1:9">
      <c r="A42" s="50" t="s">
        <v>160</v>
      </c>
      <c r="B42" s="87">
        <f>SUM(B32,B40)</f>
        <v>613603400</v>
      </c>
      <c r="C42" s="87">
        <f>SUM(C32,C40)</f>
        <v>625875468</v>
      </c>
      <c r="D42" s="87">
        <f>SUM(D32,D40)</f>
        <v>638392977.36000001</v>
      </c>
      <c r="E42" s="87">
        <f>SUM(E32,E40)</f>
        <v>651160836.9072001</v>
      </c>
      <c r="F42" s="87">
        <f>SUM(F32,F40)</f>
        <v>664184053.64534378</v>
      </c>
      <c r="G42" s="82">
        <f>SUM(B42:F42)</f>
        <v>3193216735.9125443</v>
      </c>
      <c r="I42" s="32"/>
    </row>
    <row r="43" spans="1:9">
      <c r="A43" s="54"/>
      <c r="B43" s="44"/>
      <c r="C43" s="44"/>
      <c r="D43" s="44"/>
      <c r="E43" s="44"/>
      <c r="F43" s="45"/>
      <c r="G43" s="41"/>
    </row>
    <row r="44" spans="1:9">
      <c r="A44" s="55" t="s">
        <v>161</v>
      </c>
      <c r="B44" s="82">
        <f>SUM(B42:F42)</f>
        <v>3193216735.9125443</v>
      </c>
      <c r="C44" s="44"/>
      <c r="D44" s="44"/>
      <c r="E44" s="44"/>
      <c r="F44" s="45"/>
      <c r="G44" s="41"/>
    </row>
    <row r="45" spans="1:9">
      <c r="A45" s="104"/>
      <c r="B45" s="105"/>
      <c r="C45" s="105"/>
      <c r="D45" s="105"/>
      <c r="E45" s="105"/>
      <c r="F45" s="106"/>
      <c r="G45" s="40"/>
    </row>
    <row r="46" spans="1:9">
      <c r="A46" s="37" t="s">
        <v>162</v>
      </c>
      <c r="B46" s="87">
        <f>SUM(B22,B42)</f>
        <v>634815603.44000006</v>
      </c>
      <c r="C46" s="87">
        <f>SUM(C22,C42)</f>
        <v>647513340.20879996</v>
      </c>
      <c r="D46" s="87">
        <f>SUM(D22,D42)</f>
        <v>660501132.05397606</v>
      </c>
      <c r="E46" s="87">
        <f>SUM(E22,E42)</f>
        <v>673712063.08728564</v>
      </c>
      <c r="F46" s="87">
        <f>SUM(F22,F42)</f>
        <v>687187319.19302797</v>
      </c>
      <c r="G46" s="88">
        <f>SUM(B46:F46)</f>
        <v>3303729457.9830894</v>
      </c>
    </row>
    <row r="47" spans="1:9">
      <c r="A47" s="31"/>
      <c r="B47" s="30"/>
      <c r="C47" s="132"/>
      <c r="D47" s="133"/>
      <c r="E47" s="133"/>
      <c r="F47" s="133"/>
      <c r="G47" s="134"/>
    </row>
    <row r="48" spans="1:9">
      <c r="A48" s="49" t="s">
        <v>163</v>
      </c>
      <c r="B48" s="88">
        <f>SUM(B24,B44)</f>
        <v>3303729457.9830899</v>
      </c>
      <c r="C48" s="135"/>
      <c r="D48" s="136"/>
      <c r="E48" s="136"/>
      <c r="F48" s="136"/>
      <c r="G48" s="137"/>
    </row>
  </sheetData>
  <mergeCells count="11">
    <mergeCell ref="A1:F1"/>
    <mergeCell ref="B2:F2"/>
    <mergeCell ref="A21:F21"/>
    <mergeCell ref="A11:F11"/>
    <mergeCell ref="A25:F25"/>
    <mergeCell ref="A41:F41"/>
    <mergeCell ref="A45:F45"/>
    <mergeCell ref="G2:G3"/>
    <mergeCell ref="A33:G34"/>
    <mergeCell ref="C47:G48"/>
    <mergeCell ref="A18:F18"/>
  </mergeCells>
  <printOptions gridLines="1"/>
  <pageMargins left="0.38" right="0.28000000000000003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8"/>
  <sheetViews>
    <sheetView zoomScale="150" zoomScaleNormal="150" workbookViewId="0">
      <selection activeCell="B55" sqref="B55"/>
    </sheetView>
  </sheetViews>
  <sheetFormatPr defaultColWidth="8.85546875" defaultRowHeight="15"/>
  <cols>
    <col min="1" max="2" width="14.42578125" customWidth="1"/>
    <col min="3" max="3" width="36.85546875" customWidth="1"/>
    <col min="4" max="4" width="81.28515625" customWidth="1"/>
  </cols>
  <sheetData>
    <row r="1" spans="1:4" ht="18.95">
      <c r="A1" s="102" t="s">
        <v>164</v>
      </c>
      <c r="B1" s="103"/>
      <c r="C1" s="103"/>
      <c r="D1" s="103"/>
    </row>
    <row r="2" spans="1:4" ht="18.95">
      <c r="A2" s="3" t="s">
        <v>36</v>
      </c>
      <c r="B2" s="74"/>
      <c r="C2" s="75"/>
      <c r="D2" s="75"/>
    </row>
    <row r="3" spans="1:4">
      <c r="A3" s="75"/>
      <c r="B3" s="77" t="s">
        <v>37</v>
      </c>
      <c r="C3" s="78" t="s">
        <v>38</v>
      </c>
      <c r="D3" s="78" t="s">
        <v>39</v>
      </c>
    </row>
    <row r="4" spans="1:4" ht="9" customHeight="1">
      <c r="A4" s="7"/>
      <c r="B4" s="11"/>
      <c r="C4" s="12"/>
      <c r="D4" s="12"/>
    </row>
    <row r="5" spans="1:4">
      <c r="A5" s="4"/>
      <c r="B5" s="6">
        <v>45000</v>
      </c>
      <c r="C5" s="4" t="s">
        <v>165</v>
      </c>
      <c r="D5" s="4" t="s">
        <v>166</v>
      </c>
    </row>
    <row r="6" spans="1:4">
      <c r="A6" s="4"/>
      <c r="B6" s="6">
        <v>5400</v>
      </c>
      <c r="C6" s="4" t="s">
        <v>167</v>
      </c>
      <c r="D6" s="4" t="s">
        <v>168</v>
      </c>
    </row>
    <row r="7" spans="1:4">
      <c r="A7" s="4"/>
      <c r="B7" s="6"/>
      <c r="C7" s="4"/>
      <c r="D7" s="4"/>
    </row>
    <row r="8" spans="1:4">
      <c r="A8" s="4"/>
      <c r="B8" s="6">
        <v>40000</v>
      </c>
      <c r="C8" s="4" t="s">
        <v>169</v>
      </c>
      <c r="D8" s="4" t="s">
        <v>170</v>
      </c>
    </row>
    <row r="9" spans="1:4">
      <c r="A9" s="4"/>
      <c r="B9" s="6">
        <v>4800</v>
      </c>
      <c r="C9" s="4" t="s">
        <v>171</v>
      </c>
      <c r="D9" s="4" t="s">
        <v>172</v>
      </c>
    </row>
    <row r="10" spans="1:4">
      <c r="A10" s="4"/>
      <c r="B10" s="6"/>
      <c r="C10" s="4"/>
      <c r="D10" s="4"/>
    </row>
    <row r="11" spans="1:4">
      <c r="A11" s="4"/>
      <c r="B11" s="6">
        <v>20000</v>
      </c>
      <c r="C11" s="4" t="s">
        <v>173</v>
      </c>
      <c r="D11" s="4" t="s">
        <v>174</v>
      </c>
    </row>
    <row r="12" spans="1:4">
      <c r="A12" s="4"/>
      <c r="B12" s="6">
        <v>2400</v>
      </c>
      <c r="C12" s="4" t="s">
        <v>175</v>
      </c>
      <c r="D12" s="4" t="s">
        <v>176</v>
      </c>
    </row>
    <row r="13" spans="1:4">
      <c r="A13" s="4"/>
      <c r="B13" s="6"/>
      <c r="C13" s="4"/>
      <c r="D13" s="4"/>
    </row>
    <row r="14" spans="1:4">
      <c r="A14" s="4"/>
      <c r="B14" s="6">
        <v>23000</v>
      </c>
      <c r="C14" s="4" t="s">
        <v>177</v>
      </c>
      <c r="D14" s="4" t="s">
        <v>178</v>
      </c>
    </row>
    <row r="15" spans="1:4">
      <c r="A15" s="4"/>
      <c r="B15" s="6">
        <v>2760</v>
      </c>
      <c r="C15" s="4" t="s">
        <v>179</v>
      </c>
      <c r="D15" s="4" t="s">
        <v>180</v>
      </c>
    </row>
    <row r="16" spans="1:4">
      <c r="A16" s="4"/>
      <c r="B16" s="4"/>
      <c r="C16" s="4"/>
      <c r="D16" s="4"/>
    </row>
    <row r="17" spans="1:4">
      <c r="A17" s="4"/>
      <c r="B17" s="72">
        <v>2500</v>
      </c>
      <c r="C17" s="4" t="s">
        <v>181</v>
      </c>
      <c r="D17" s="4" t="s">
        <v>182</v>
      </c>
    </row>
    <row r="18" spans="1:4">
      <c r="A18" s="4"/>
      <c r="B18" s="72">
        <v>10000</v>
      </c>
      <c r="C18" s="4" t="s">
        <v>183</v>
      </c>
      <c r="D18" s="4" t="s">
        <v>184</v>
      </c>
    </row>
    <row r="19" spans="1:4">
      <c r="A19" s="4"/>
      <c r="B19" s="72">
        <v>940</v>
      </c>
      <c r="C19" s="4" t="s">
        <v>185</v>
      </c>
      <c r="D19" s="4" t="s">
        <v>186</v>
      </c>
    </row>
    <row r="20" spans="1:4">
      <c r="A20" s="4"/>
      <c r="B20" s="72">
        <v>4000</v>
      </c>
      <c r="C20" s="4" t="s">
        <v>187</v>
      </c>
      <c r="D20" s="4" t="s">
        <v>188</v>
      </c>
    </row>
    <row r="21" spans="1:4">
      <c r="A21" s="4"/>
      <c r="B21" s="72">
        <v>10</v>
      </c>
      <c r="C21" s="4" t="s">
        <v>189</v>
      </c>
      <c r="D21" s="4" t="s">
        <v>190</v>
      </c>
    </row>
    <row r="22" spans="1:4">
      <c r="A22" s="4"/>
      <c r="B22" s="72">
        <v>30</v>
      </c>
      <c r="C22" s="4" t="s">
        <v>191</v>
      </c>
      <c r="D22" s="4" t="s">
        <v>192</v>
      </c>
    </row>
    <row r="23" spans="1:4">
      <c r="A23" s="4"/>
      <c r="B23" s="72">
        <v>50</v>
      </c>
      <c r="C23" s="4" t="s">
        <v>193</v>
      </c>
      <c r="D23" s="4" t="s">
        <v>194</v>
      </c>
    </row>
    <row r="24" spans="1:4">
      <c r="A24" s="4"/>
      <c r="B24" s="72">
        <v>300</v>
      </c>
      <c r="C24" s="4" t="s">
        <v>195</v>
      </c>
      <c r="D24" s="4" t="s">
        <v>196</v>
      </c>
    </row>
    <row r="25" spans="1:4">
      <c r="A25" s="4"/>
      <c r="B25" s="7"/>
      <c r="C25" s="4"/>
      <c r="D25" s="4"/>
    </row>
    <row r="26" spans="1:4">
      <c r="A26" s="4"/>
      <c r="B26" s="7"/>
      <c r="C26" s="4"/>
      <c r="D26" s="4"/>
    </row>
    <row r="27" spans="1:4">
      <c r="A27" s="4"/>
      <c r="B27" s="7">
        <v>425</v>
      </c>
      <c r="C27" s="4" t="s">
        <v>197</v>
      </c>
      <c r="D27" s="4" t="s">
        <v>198</v>
      </c>
    </row>
    <row r="28" spans="1:4">
      <c r="A28" s="4"/>
      <c r="B28" s="7">
        <v>300</v>
      </c>
      <c r="C28" s="4" t="s">
        <v>199</v>
      </c>
      <c r="D28" s="4" t="s">
        <v>200</v>
      </c>
    </row>
    <row r="29" spans="1:4">
      <c r="A29" s="4"/>
      <c r="B29" s="7">
        <v>162</v>
      </c>
      <c r="C29" s="4" t="s">
        <v>201</v>
      </c>
      <c r="D29" s="4" t="s">
        <v>202</v>
      </c>
    </row>
    <row r="30" spans="1:4">
      <c r="A30" s="4"/>
      <c r="B30" s="7">
        <v>54</v>
      </c>
      <c r="C30" s="4" t="s">
        <v>203</v>
      </c>
      <c r="D30" s="4" t="s">
        <v>204</v>
      </c>
    </row>
    <row r="31" spans="1:4">
      <c r="A31" s="4"/>
      <c r="B31" s="7"/>
      <c r="C31" s="4"/>
      <c r="D31" s="4"/>
    </row>
    <row r="32" spans="1:4">
      <c r="A32" s="4"/>
      <c r="B32" s="6">
        <v>4500</v>
      </c>
      <c r="C32" s="4" t="s">
        <v>205</v>
      </c>
      <c r="D32" s="4" t="s">
        <v>206</v>
      </c>
    </row>
    <row r="33" spans="1:4">
      <c r="A33" s="4"/>
      <c r="B33" s="7">
        <v>0.15</v>
      </c>
      <c r="C33" s="4" t="s">
        <v>207</v>
      </c>
      <c r="D33" s="4" t="s">
        <v>208</v>
      </c>
    </row>
    <row r="34" spans="1:4">
      <c r="A34" s="4"/>
      <c r="B34" s="7"/>
      <c r="C34" s="4"/>
      <c r="D34" s="4"/>
    </row>
    <row r="35" spans="1:4">
      <c r="A35" s="4"/>
      <c r="B35" s="7"/>
      <c r="C35" s="4"/>
      <c r="D35" s="4"/>
    </row>
    <row r="36" spans="1:4">
      <c r="A36" s="4"/>
      <c r="B36" s="6">
        <v>5500</v>
      </c>
      <c r="C36" s="4" t="s">
        <v>209</v>
      </c>
      <c r="D36" s="4" t="s">
        <v>210</v>
      </c>
    </row>
    <row r="37" spans="1:4">
      <c r="A37" s="4"/>
      <c r="B37" s="7">
        <v>4</v>
      </c>
      <c r="C37" s="4" t="s">
        <v>211</v>
      </c>
      <c r="D37" s="4" t="s">
        <v>212</v>
      </c>
    </row>
    <row r="38" spans="1:4">
      <c r="A38" s="4"/>
      <c r="B38" s="7">
        <v>2</v>
      </c>
      <c r="C38" s="4" t="s">
        <v>213</v>
      </c>
      <c r="D38" s="4" t="s">
        <v>214</v>
      </c>
    </row>
    <row r="39" spans="1:4">
      <c r="A39" s="4"/>
      <c r="B39" s="7"/>
      <c r="C39" s="4"/>
      <c r="D39" s="4"/>
    </row>
    <row r="40" spans="1:4" ht="18.95">
      <c r="A40" s="9" t="s">
        <v>92</v>
      </c>
      <c r="B40" s="33"/>
      <c r="C40" s="75"/>
      <c r="D40" s="75"/>
    </row>
    <row r="41" spans="1:4" ht="18.95">
      <c r="A41" s="9"/>
      <c r="B41" s="76" t="s">
        <v>37</v>
      </c>
      <c r="C41" s="76" t="s">
        <v>38</v>
      </c>
      <c r="D41" s="76" t="s">
        <v>39</v>
      </c>
    </row>
    <row r="42" spans="1:4">
      <c r="A42" s="4"/>
      <c r="B42" s="7">
        <v>0.4</v>
      </c>
      <c r="C42" s="4" t="s">
        <v>215</v>
      </c>
      <c r="D42" s="4" t="s">
        <v>216</v>
      </c>
    </row>
    <row r="43" spans="1:4">
      <c r="A43" s="4"/>
      <c r="B43" s="7">
        <v>3</v>
      </c>
      <c r="C43" s="4" t="s">
        <v>217</v>
      </c>
      <c r="D43" s="4"/>
    </row>
    <row r="44" spans="1:4">
      <c r="A44" s="4"/>
      <c r="B44" s="7">
        <v>0.12</v>
      </c>
      <c r="C44" s="4" t="s">
        <v>218</v>
      </c>
      <c r="D44" s="4"/>
    </row>
    <row r="45" spans="1:4">
      <c r="A45" s="4"/>
      <c r="B45" s="7"/>
      <c r="C45" s="4"/>
      <c r="D45" s="4"/>
    </row>
    <row r="46" spans="1:4">
      <c r="A46" s="4"/>
      <c r="B46" s="7">
        <v>1</v>
      </c>
      <c r="C46" s="4" t="s">
        <v>219</v>
      </c>
      <c r="D46" s="4" t="s">
        <v>220</v>
      </c>
    </row>
    <row r="47" spans="1:4">
      <c r="A47" s="4"/>
      <c r="B47" s="7">
        <v>1</v>
      </c>
      <c r="C47" s="4" t="s">
        <v>221</v>
      </c>
      <c r="D47" s="4" t="s">
        <v>222</v>
      </c>
    </row>
    <row r="48" spans="1:4">
      <c r="A48" s="4"/>
      <c r="B48" s="7">
        <v>1</v>
      </c>
      <c r="C48" s="4" t="s">
        <v>223</v>
      </c>
      <c r="D48" s="4" t="s">
        <v>224</v>
      </c>
    </row>
    <row r="49" spans="1:4">
      <c r="A49" s="4"/>
      <c r="B49" s="7">
        <v>1.5</v>
      </c>
      <c r="C49" s="4" t="s">
        <v>225</v>
      </c>
      <c r="D49" s="4" t="s">
        <v>226</v>
      </c>
    </row>
    <row r="50" spans="1:4">
      <c r="A50" s="4"/>
      <c r="B50" s="7"/>
      <c r="C50" s="4"/>
      <c r="D50" s="4"/>
    </row>
    <row r="51" spans="1:4">
      <c r="A51" s="4"/>
      <c r="B51" s="7">
        <v>365</v>
      </c>
      <c r="C51" s="4" t="s">
        <v>227</v>
      </c>
      <c r="D51" s="4" t="s">
        <v>228</v>
      </c>
    </row>
    <row r="52" spans="1:4">
      <c r="A52" s="4"/>
      <c r="B52" s="7">
        <v>365</v>
      </c>
      <c r="C52" s="4" t="s">
        <v>229</v>
      </c>
      <c r="D52" s="4" t="s">
        <v>230</v>
      </c>
    </row>
    <row r="53" spans="1:4">
      <c r="A53" s="4"/>
      <c r="B53" s="7">
        <v>365</v>
      </c>
      <c r="C53" s="4" t="s">
        <v>231</v>
      </c>
      <c r="D53" s="4" t="s">
        <v>232</v>
      </c>
    </row>
    <row r="54" spans="1:4">
      <c r="A54" s="4"/>
      <c r="B54" s="7">
        <v>52</v>
      </c>
      <c r="C54" s="4" t="s">
        <v>233</v>
      </c>
      <c r="D54" s="4" t="s">
        <v>234</v>
      </c>
    </row>
    <row r="55" spans="1:4">
      <c r="A55" s="4"/>
      <c r="B55" s="4"/>
      <c r="C55" s="4"/>
      <c r="D55" s="4"/>
    </row>
    <row r="64" spans="1:4">
      <c r="D64" s="1"/>
    </row>
    <row r="65" spans="2:2">
      <c r="B65" s="1"/>
    </row>
    <row r="66" spans="2:2">
      <c r="B66" s="1"/>
    </row>
    <row r="68" spans="2:2">
      <c r="B68" s="1"/>
    </row>
  </sheetData>
  <mergeCells count="1">
    <mergeCell ref="A1:D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7"/>
  <sheetViews>
    <sheetView topLeftCell="A21" zoomScale="150" zoomScaleNormal="150" workbookViewId="0">
      <selection activeCell="F39" sqref="F39"/>
    </sheetView>
  </sheetViews>
  <sheetFormatPr defaultColWidth="8.85546875" defaultRowHeight="15"/>
  <cols>
    <col min="1" max="1" width="37.7109375" customWidth="1"/>
    <col min="2" max="2" width="17.85546875" customWidth="1"/>
    <col min="3" max="7" width="18.85546875" customWidth="1"/>
    <col min="8" max="9" width="13.85546875" bestFit="1" customWidth="1"/>
  </cols>
  <sheetData>
    <row r="1" spans="1:8" s="2" customFormat="1" ht="21">
      <c r="A1" s="116" t="s">
        <v>235</v>
      </c>
      <c r="B1" s="117"/>
      <c r="C1" s="117"/>
      <c r="D1" s="117"/>
      <c r="E1" s="117"/>
      <c r="F1" s="118"/>
    </row>
    <row r="2" spans="1:8">
      <c r="A2" s="28" t="s">
        <v>124</v>
      </c>
      <c r="B2" s="119" t="s">
        <v>125</v>
      </c>
      <c r="C2" s="119"/>
      <c r="D2" s="119"/>
      <c r="E2" s="119"/>
      <c r="F2" s="119"/>
      <c r="G2" s="123" t="s">
        <v>126</v>
      </c>
    </row>
    <row r="3" spans="1:8">
      <c r="A3" s="24"/>
      <c r="B3" s="28" t="s">
        <v>127</v>
      </c>
      <c r="C3" s="28" t="s">
        <v>128</v>
      </c>
      <c r="D3" s="28" t="s">
        <v>129</v>
      </c>
      <c r="E3" s="28" t="s">
        <v>130</v>
      </c>
      <c r="F3" s="28" t="s">
        <v>131</v>
      </c>
      <c r="G3" s="123"/>
    </row>
    <row r="4" spans="1:8" ht="18.95">
      <c r="A4" s="57" t="s">
        <v>36</v>
      </c>
      <c r="B4" s="18"/>
      <c r="C4" s="18"/>
      <c r="D4" s="18"/>
      <c r="E4" s="18"/>
      <c r="F4" s="19"/>
      <c r="G4" s="15"/>
    </row>
    <row r="5" spans="1:8">
      <c r="A5" s="29" t="s">
        <v>236</v>
      </c>
      <c r="B5" s="91" cm="1">
        <f t="array" ref="B5">(costNewGroup1Server * numNewServersGroup1) +
(costNewGroup2Server * numNewServersGroup2) +
(costNewGroup3Server * numNewServersGroup3) +
(costNewGroup4Server * numNewServersGroup4)</f>
        <v>151450000</v>
      </c>
      <c r="C5" s="91"/>
      <c r="D5" s="91"/>
      <c r="E5" s="91"/>
      <c r="F5" s="91"/>
      <c r="G5" s="41">
        <f>SUM(B5:F5)</f>
        <v>151450000</v>
      </c>
    </row>
    <row r="6" spans="1:8">
      <c r="A6" s="29" t="s">
        <v>237</v>
      </c>
      <c r="B6" s="91" cm="1">
        <f t="array" ref="B6" xml:space="preserve"> virtualizationSoftwareCost * (
    numNewServersGroup1 +
    numNewServersGroup2 +
    numNewServersGroup3 +
    numNewServersGroup4
)</f>
        <v>15750000</v>
      </c>
      <c r="C6" s="91"/>
      <c r="D6" s="91"/>
      <c r="E6" s="91"/>
      <c r="F6" s="91"/>
      <c r="G6" s="41">
        <f>SUM(B6:F6)</f>
        <v>15750000</v>
      </c>
    </row>
    <row r="7" spans="1:8" ht="15" customHeight="1">
      <c r="A7" s="29" t="s">
        <v>238</v>
      </c>
      <c r="B7" s="91" cm="1">
        <f t="array" ref="B7" xml:space="preserve"> virtualizationSoftwareCost * (
    numNewServersGroup1 +
    numNewServersGroup2 +
    numNewServersGroup3 +
    numNewServersGroup4
) * virtualizationSoftwareMaintenanceRate</f>
        <v>2362500</v>
      </c>
      <c r="C7" s="91" cm="1">
        <f t="array" ref="C7" xml:space="preserve"> virtualizationSoftwareCost * (
    numNewServersGroup1 +
    numNewServersGroup2 +
    numNewServersGroup3 +
    numNewServersGroup4
) * virtualizationSoftwareMaintenanceRate</f>
        <v>2362500</v>
      </c>
      <c r="D7" s="92" cm="1">
        <f t="array" ref="D7" xml:space="preserve"> virtualizationSoftwareCost * (
    numNewServersGroup1 +
    numNewServersGroup2 +
    numNewServersGroup3 +
    numNewServersGroup4
) * virtualizationSoftwareMaintenanceRate</f>
        <v>2362500</v>
      </c>
      <c r="E7" s="91" cm="1">
        <f t="array" ref="E7" xml:space="preserve"> virtualizationSoftwareCost * (
    numNewServersGroup1 +
    numNewServersGroup2 +
    numNewServersGroup3 +
    numNewServersGroup4
) * virtualizationSoftwareMaintenanceRate</f>
        <v>2362500</v>
      </c>
      <c r="F7" s="91" cm="1">
        <f t="array" ref="F7" xml:space="preserve"> virtualizationSoftwareCost * (
    numNewServersGroup1 +
    numNewServersGroup2 +
    numNewServersGroup3 +
    numNewServersGroup4
) * virtualizationSoftwareMaintenanceRate</f>
        <v>2362500</v>
      </c>
      <c r="G7" s="41">
        <f>SUM(B7:F7)</f>
        <v>11812500</v>
      </c>
      <c r="H7" s="95"/>
    </row>
    <row r="8" spans="1:8">
      <c r="A8" s="29" t="s">
        <v>132</v>
      </c>
      <c r="B8" s="25" cm="1">
        <f t="array" ref="B8">(newServerPowerGroup1 / wattsInAKilowatt) * hoursInAYear * costkwHYear1 * numNewServersGroup1</f>
        <v>1209975</v>
      </c>
      <c r="C8" s="25" cm="1">
        <f t="array" ref="C8">(newServerPowerGroup1 / wattsInAKilowatt) * hoursInAYear * costkwHYear1 * numNewServersGroup1* powerRateIncrease</f>
        <v>1234174.5</v>
      </c>
      <c r="D8" s="25" cm="1">
        <f t="array" ref="D8">(newServerPowerGroup1 / wattsInAKilowatt) * hoursInAYear * costkwHYear1 * numNewServersGroup1* powerRateIncrease^2</f>
        <v>1258857.99</v>
      </c>
      <c r="E8" s="25" cm="1">
        <f t="array" ref="E8">(newServerPowerGroup1 / wattsInAKilowatt) * hoursInAYear * costkwHYear1 * numNewServersGroup1* powerRateIncrease^3</f>
        <v>1284035.1498</v>
      </c>
      <c r="F8" s="25" cm="1">
        <f t="array" ref="F8">(newServerPowerGroup1 / wattsInAKilowatt) * hoursInAYear * costkwHYear1 * numNewServersGroup1* powerRateIncrease^3</f>
        <v>1284035.1498</v>
      </c>
      <c r="G8" s="41">
        <f>SUM(B8:F8)</f>
        <v>6271077.7895999998</v>
      </c>
    </row>
    <row r="9" spans="1:8">
      <c r="A9" s="29" t="s">
        <v>133</v>
      </c>
      <c r="B9" s="25" cm="1">
        <f t="array" ref="B9">(newServerPowerGroup2 / wattsInAKilowatt) * hoursInAYear * costkwHYear1 * numNewServersGroup2</f>
        <v>321141.59999999998</v>
      </c>
      <c r="C9" s="25" cm="1">
        <f t="array" ref="C9">(newServerPowerGroup2 / wattsInAKilowatt) * hoursInAYear * costkwHYear1 * numNewServersGroup2
* powerRateIncrease</f>
        <v>327564.43199999997</v>
      </c>
      <c r="D9" s="25" cm="1">
        <f t="array" ref="D9">(newServerPowerGroup2 / wattsInAKilowatt) * hoursInAYear * costkwHYear1 * numNewServersGroup2
* powerRateIncrease^2</f>
        <v>334115.72063999996</v>
      </c>
      <c r="E9" s="25" cm="1">
        <f t="array" ref="E9">(newServerPowerGroup2 / wattsInAKilowatt) * hoursInAYear * costkwHYear1 * numNewServersGroup2
 * powerRateIncrease^3</f>
        <v>340798.03505279997</v>
      </c>
      <c r="F9" s="25" cm="1">
        <f t="array" ref="F9">(newServerPowerGroup2 / wattsInAKilowatt) * hoursInAYear * costkwHYear1 * numNewServersGroup2
 * powerRateIncrease^4</f>
        <v>347613.99575385597</v>
      </c>
      <c r="G9" s="41">
        <f>SUM(B9:F9)</f>
        <v>1671233.7834466556</v>
      </c>
    </row>
    <row r="10" spans="1:8">
      <c r="A10" s="29" t="s">
        <v>134</v>
      </c>
      <c r="B10" s="25" cm="1">
        <f t="array" ref="B10">(newServerPowerGroup3 / wattsInAKilowatt) * hoursInAYear * costkwHYear1 * numNewServersGroup3</f>
        <v>1844.8560000000002</v>
      </c>
      <c r="C10" s="25" cm="1">
        <f t="array" ref="C10">(newServerPowerGroup3 / wattsInAKilowatt) * hoursInAYear * costkwHYear1 * numNewServersGroup3
 * powerRateIncrease</f>
        <v>1881.7531200000003</v>
      </c>
      <c r="D10" s="25" cm="1">
        <f t="array" ref="D10">(newServerPowerGroup3 / wattsInAKilowatt) * hoursInAYear * costkwHYear1 * numNewServersGroup3
 * powerRateIncrease^2</f>
        <v>1919.3881824000002</v>
      </c>
      <c r="E10" s="25" cm="1">
        <f t="array" ref="E10">(newServerPowerGroup3 / wattsInAKilowatt) * hoursInAYear * costkwHYear1 * numNewServersGroup3
 * powerRateIncrease^3</f>
        <v>1957.7759460480002</v>
      </c>
      <c r="F10" s="25" cm="1">
        <f t="array" ref="F10">(newServerPowerGroup3 / wattsInAKilowatt) * hoursInAYear * costkwHYear1 * numNewServersGroup3
 * powerRateIncrease^4</f>
        <v>1996.9314649689602</v>
      </c>
      <c r="G10" s="41">
        <f>SUM(B10:F10)</f>
        <v>9600.7047134169607</v>
      </c>
    </row>
    <row r="11" spans="1:8">
      <c r="A11" s="29" t="s">
        <v>239</v>
      </c>
      <c r="B11" s="25" cm="1">
        <f t="array" ref="B11">(newServerPowerGroup4 / wattsInAKilowatt) * hoursInAYear * costkwHYear1 * numNewServersGroup4</f>
        <v>3074.76</v>
      </c>
      <c r="C11" s="25" cm="1">
        <f t="array" ref="C11">(newServerPowerGroup4 / wattsInAKilowatt) * hoursInAYear * costkwHYear1 * numNewServersGroup4
 * powerRateIncrease</f>
        <v>3136.2552000000001</v>
      </c>
      <c r="D11" s="25" cm="1">
        <f t="array" ref="D11">(newServerPowerGroup4 / wattsInAKilowatt) * hoursInAYear * costkwHYear1 * numNewServersGroup4
 * powerRateIncrease^2</f>
        <v>3198.9803040000002</v>
      </c>
      <c r="E11" s="25" cm="1">
        <f t="array" ref="E11">(newServerPowerGroup4 / wattsInAKilowatt) * hoursInAYear * costkwHYear1 * numNewServersGroup4
 * powerRateIncrease^3</f>
        <v>3262.9599100800001</v>
      </c>
      <c r="F11" s="25" cm="1">
        <f t="array" ref="F11">(newServerPowerGroup4 / wattsInAKilowatt) * hoursInAYear * costkwHYear1 * numNewServersGroup4
 * powerRateIncrease^4</f>
        <v>3328.2191082816003</v>
      </c>
      <c r="G11" s="41">
        <f>SUM(B11:F11)</f>
        <v>16001.174522361602</v>
      </c>
    </row>
    <row r="12" spans="1:8">
      <c r="A12" s="29" t="s">
        <v>138</v>
      </c>
      <c r="B12" s="25" cm="1">
        <f t="array" ref="B12">year1Group1ServerMaintenance * numNewServersGroup1</f>
        <v>13500000</v>
      </c>
      <c r="C12" s="25" cm="1">
        <f t="array" ref="C12">year1Group1ServerMaintenance * numNewServersGroup1* serverMaintenanceRateIncrease</f>
        <v>13905000</v>
      </c>
      <c r="D12" s="25" cm="1">
        <f t="array" ref="D12">year1Group1ServerMaintenance * numNewServersGroup1 * serverMaintenanceRateIncrease^2</f>
        <v>14322150</v>
      </c>
      <c r="E12" s="25" cm="1">
        <f t="array" ref="E12">year1Group1ServerMaintenance * numNewServersGroup1* serverMaintenanceRateIncrease^3</f>
        <v>14751814.5</v>
      </c>
      <c r="F12" s="25" cm="1">
        <f t="array" ref="F12">year1Group1ServerMaintenance * numNewServersGroup1* serverMaintenanceRateIncrease^4</f>
        <v>15194368.934999999</v>
      </c>
      <c r="G12" s="41">
        <f>SUM(B12:F12)</f>
        <v>71673333.435000002</v>
      </c>
      <c r="H12" s="32"/>
    </row>
    <row r="13" spans="1:8">
      <c r="A13" s="29" t="s">
        <v>139</v>
      </c>
      <c r="B13" s="25" cm="1">
        <f t="array" ref="B13">year1Group2ServerMaintenance * numNewServersGroup2</f>
        <v>4512000</v>
      </c>
      <c r="C13" s="25" cm="1">
        <f t="array" ref="C13">year1Group2ServerMaintenance * numNewServersGroup2
* serverMaintenanceRateIncrease</f>
        <v>4647360</v>
      </c>
      <c r="D13" s="25" cm="1">
        <f t="array" ref="D13">year1Group2ServerMaintenance * numNewServersGroup2
 * serverMaintenanceRateIncrease^2</f>
        <v>4786780.8</v>
      </c>
      <c r="E13" s="25" cm="1">
        <f t="array" ref="E13">year1Group2ServerMaintenance * numNewServersGroup2
 * serverMaintenanceRateIncrease^3</f>
        <v>4930384.2240000004</v>
      </c>
      <c r="F13" s="25" cm="1">
        <f t="array" ref="F13">year1Group2ServerMaintenance * numNewServersGroup2
 * serverMaintenanceRateIncrease^4</f>
        <v>5078295.7507199999</v>
      </c>
      <c r="G13" s="41">
        <f>SUM(B13:F13)</f>
        <v>23954820.774719998</v>
      </c>
    </row>
    <row r="14" spans="1:8">
      <c r="A14" s="29" t="s">
        <v>140</v>
      </c>
      <c r="B14" s="25" cm="1">
        <f t="array" ref="B14">year1Group3ServerMaintenance * numNewServersGroup3</f>
        <v>24000</v>
      </c>
      <c r="C14" s="25" cm="1">
        <f t="array" ref="C14">year1Group3ServerMaintenance * numNewServersGroup3
* serverMaintenanceRateIncrease</f>
        <v>24720</v>
      </c>
      <c r="D14" s="25" cm="1">
        <f t="array" ref="D14">year1Group3ServerMaintenance * numNewServersGroup3
 * serverMaintenanceRateIncrease^2</f>
        <v>25461.599999999999</v>
      </c>
      <c r="E14" s="25" cm="1">
        <f t="array" ref="E14">year1Group3ServerMaintenance * numNewServersGroup3
* serverMaintenanceRateIncrease^3</f>
        <v>26225.448</v>
      </c>
      <c r="F14" s="25" cm="1">
        <f t="array" ref="F14">year1Group3ServerMaintenance * numNewServersGroup3
* serverMaintenanceRateIncrease^4</f>
        <v>27012.211439999999</v>
      </c>
      <c r="G14" s="41">
        <f>SUM(B14:F14)</f>
        <v>127419.25944000001</v>
      </c>
    </row>
    <row r="15" spans="1:8">
      <c r="A15" s="29" t="s">
        <v>240</v>
      </c>
      <c r="B15" s="25" cm="1">
        <f t="array" ref="B15">year1Group4ServerMaintenance * numNewServersGroup4</f>
        <v>138000</v>
      </c>
      <c r="C15" s="25" cm="1">
        <f t="array" ref="C15">year1Group4ServerMaintenance * numNewServersGroup4
 * serverMaintenanceRateIncrease</f>
        <v>142140</v>
      </c>
      <c r="D15" s="25" cm="1">
        <f t="array" ref="D15">year1Group4ServerMaintenance * numNewServersGroup4
 * serverMaintenanceRateIncrease^2</f>
        <v>146404.19999999998</v>
      </c>
      <c r="E15" s="25" cm="1">
        <f t="array" ref="E15">year1Group4ServerMaintenance * numNewServersGroup4
 * serverMaintenanceRateIncrease^3</f>
        <v>150796.326</v>
      </c>
      <c r="F15" s="25" cm="1">
        <f t="array" ref="F15">year1Group4ServerMaintenance * numNewServersGroup4
 * serverMaintenanceRateIncrease^4</f>
        <v>155320.21578</v>
      </c>
      <c r="G15" s="41">
        <f>SUM(B15:F15)</f>
        <v>732660.74177999992</v>
      </c>
    </row>
    <row r="16" spans="1:8">
      <c r="A16" s="29" t="s">
        <v>241</v>
      </c>
      <c r="B16" s="90" cm="1">
        <f t="array" ref="B16" xml:space="preserve"> trainingCostPerEmployee * empsTrainedYears1And2</f>
        <v>22000</v>
      </c>
      <c r="C16" s="90" cm="1">
        <f t="array" ref="C16" xml:space="preserve"> trainingCostPerEmployee * empsTrainedYears1And2</f>
        <v>22000</v>
      </c>
      <c r="D16" s="90" cm="1">
        <f t="array" ref="D16" xml:space="preserve"> trainingCostPerEmployee * empsTrainedYears3Thru5</f>
        <v>11000</v>
      </c>
      <c r="E16" s="90" cm="1">
        <f t="array" ref="E16" xml:space="preserve"> trainingCostPerEmployee * empsTrainedYears3Thru5</f>
        <v>11000</v>
      </c>
      <c r="F16" s="90" cm="1">
        <f t="array" ref="F16" xml:space="preserve"> trainingCostPerEmployee * empsTrainedYears3Thru5</f>
        <v>11000</v>
      </c>
      <c r="G16" s="41">
        <f>SUM(B16:F16)</f>
        <v>77000</v>
      </c>
    </row>
    <row r="17" spans="1:8">
      <c r="A17" s="29" t="s">
        <v>144</v>
      </c>
      <c r="B17" s="90" cm="1">
        <f t="array" ref="B17">securityFirmMonthlyCharge * monthsInAYear</f>
        <v>36000</v>
      </c>
      <c r="C17" s="90" cm="1">
        <f t="array" ref="C17">securityFirmMonthlyCharge * monthsInAYear</f>
        <v>36000</v>
      </c>
      <c r="D17" s="90" cm="1">
        <f t="array" ref="D17">securityFirmMonthlyCharge * monthsInAYear</f>
        <v>36000</v>
      </c>
      <c r="E17" s="90" cm="1">
        <f t="array" ref="E17">securityFirmMonthlyCharge * monthsInAYear</f>
        <v>36000</v>
      </c>
      <c r="F17" s="90" cm="1">
        <f t="array" ref="F17">securityFirmMonthlyCharge * monthsInAYear</f>
        <v>36000</v>
      </c>
      <c r="G17" s="41">
        <f>SUM(B17:F17)</f>
        <v>180000</v>
      </c>
    </row>
    <row r="18" spans="1:8">
      <c r="A18" s="29" t="s">
        <v>145</v>
      </c>
      <c r="B18" s="90" cm="1">
        <f t="array" ref="B18">dataStorageMonthlyChargeYears1And2 * monthsInAYear</f>
        <v>60000</v>
      </c>
      <c r="C18" s="90" cm="1">
        <f t="array" ref="C18">dataStorageMonthlyChargeYears1And2 * monthsInAYear</f>
        <v>60000</v>
      </c>
      <c r="D18" s="90" cm="1">
        <f t="array" ref="D18">dataStorageMonthlyChargeYears3Thru5 * monthsInAYear</f>
        <v>96000</v>
      </c>
      <c r="E18" s="90" cm="1">
        <f t="array" ref="E18">dataStorageMonthlyChargeYears3Thru5 * monthsInAYear</f>
        <v>96000</v>
      </c>
      <c r="F18" s="90" cm="1">
        <f t="array" ref="F18">dataStorageMonthlyChargeYears3Thru5 * monthsInAYear</f>
        <v>96000</v>
      </c>
      <c r="G18" s="41">
        <f>SUM(B18:F18)</f>
        <v>408000</v>
      </c>
    </row>
    <row r="19" spans="1:8" ht="15" customHeight="1">
      <c r="A19" s="104"/>
      <c r="B19" s="105"/>
      <c r="C19" s="105"/>
      <c r="D19" s="105"/>
      <c r="E19" s="105"/>
      <c r="F19" s="106"/>
      <c r="G19" s="24"/>
    </row>
    <row r="20" spans="1:8" ht="17.25" customHeight="1">
      <c r="A20" s="50" t="s">
        <v>146</v>
      </c>
      <c r="B20" s="38">
        <f>SUM(B5:B18)</f>
        <v>189390536.21599999</v>
      </c>
      <c r="C20" s="38">
        <f>SUM(C5:C18)</f>
        <v>22766476.94032</v>
      </c>
      <c r="D20" s="38">
        <f>SUM(D5:D18)</f>
        <v>23384388.679126401</v>
      </c>
      <c r="E20" s="38">
        <f>SUM(E5:E18)</f>
        <v>23994774.418708928</v>
      </c>
      <c r="F20" s="38">
        <f>SUM(F5:F18)</f>
        <v>24597471.409067109</v>
      </c>
      <c r="G20" s="42">
        <f>SUM(B20:F20)</f>
        <v>284133647.66322243</v>
      </c>
    </row>
    <row r="21" spans="1:8" ht="14.25" customHeight="1">
      <c r="A21" s="104"/>
      <c r="B21" s="105"/>
      <c r="C21" s="105"/>
      <c r="D21" s="105"/>
      <c r="E21" s="105"/>
      <c r="F21" s="106"/>
      <c r="G21" s="24"/>
    </row>
    <row r="22" spans="1:8">
      <c r="A22" s="43" t="s">
        <v>242</v>
      </c>
      <c r="B22" s="42">
        <f>SUM(B20:F20)</f>
        <v>284133647.66322243</v>
      </c>
      <c r="C22" s="120"/>
      <c r="D22" s="121"/>
      <c r="E22" s="121"/>
      <c r="F22" s="122"/>
      <c r="G22" s="24"/>
    </row>
    <row r="23" spans="1:8">
      <c r="A23" s="104"/>
      <c r="B23" s="105"/>
      <c r="C23" s="105"/>
      <c r="D23" s="105"/>
      <c r="E23" s="105"/>
      <c r="F23" s="106"/>
      <c r="G23" s="24"/>
    </row>
    <row r="24" spans="1:8" ht="18.95">
      <c r="A24" s="58" t="s">
        <v>92</v>
      </c>
      <c r="B24" s="16"/>
      <c r="C24" s="16"/>
      <c r="D24" s="16"/>
      <c r="E24" s="16"/>
      <c r="F24" s="17"/>
      <c r="G24" s="15"/>
    </row>
    <row r="25" spans="1:8">
      <c r="A25" s="29" t="s">
        <v>243</v>
      </c>
      <c r="B25" s="30" cm="1">
        <f t="array" ref="B25">weeksAdminTimeNewServers * hoursInAWeek * administrativeCostPerHourYear1 * numNewServersGroup1</f>
        <v>52500000</v>
      </c>
      <c r="C25" s="30" cm="1">
        <f t="array" ref="C25">weeksAdminTimeNewServers * hoursInAWeek * administrativeCostPerHourYear1 * numNewServersGroup1
 * (1 + administrativeRateIncrease)</f>
        <v>53550000</v>
      </c>
      <c r="D25" s="30" cm="1">
        <f t="array" ref="D25">weeksAdminTimeNewServers * hoursInAWeek * administrativeCostPerHourYear1 * numNewServersGroup1
 * (1 + administrativeRateIncrease)^2</f>
        <v>54621000</v>
      </c>
      <c r="E25" s="30" cm="1">
        <f t="array" ref="E25">weeksAdminTimeNewServers * hoursInAWeek * administrativeCostPerHourYear1 * numNewServersGroup1
 * (1 + administrativeRateIncrease)
^3</f>
        <v>55713420</v>
      </c>
      <c r="F25" s="30" cm="1">
        <f t="array" ref="F25">weeksAdminTimeNewServers * hoursInAWeek * administrativeCostPerHourYear1 * numNewServersGroup1
* (1 + administrativeRateIncrease)^4</f>
        <v>56827688.399999999</v>
      </c>
      <c r="G25" s="41">
        <f>SUM(B25:F25)</f>
        <v>273212108.39999998</v>
      </c>
    </row>
    <row r="26" spans="1:8">
      <c r="A26" s="93" t="s">
        <v>244</v>
      </c>
      <c r="B26" s="91" cm="1">
        <f t="array" ref="B26">weeksAdminTimeNewServers * hoursInAWeek * administrativeCostPerHourYear1 *
numVirtualServersGroup1 * adminCostOnVirtualServer</f>
        <v>84000000</v>
      </c>
      <c r="C26" s="91" cm="1">
        <f t="array" ref="C26">weeksAdminTimeNewServers * hoursInAWeek * administrativeCostPerHourYear1 *
numVirtualServersGroup1 * adminCostOnVirtualServer
* (1 + administrativeRateIncrease)</f>
        <v>85680000</v>
      </c>
      <c r="D26" s="91" cm="1">
        <f t="array" ref="D26">weeksAdminTimeNewServers * hoursInAWeek * administrativeCostPerHourYear1 *
numVirtualServersGroup1 * adminCostOnVirtualServer
  * (1 + administrativeRateIncrease)^2</f>
        <v>87393600</v>
      </c>
      <c r="E26" s="91" cm="1">
        <f t="array" ref="E26">weeksAdminTimeNewServers * hoursInAWeek * administrativeCostPerHourYear1 *
numVirtualServersGroup1 * adminCostOnVirtualServer
* (1 + administrativeRateIncrease)
^3</f>
        <v>89141472</v>
      </c>
      <c r="F26" s="91" cm="1">
        <f t="array" ref="F26">weeksAdminTimeNewServers * hoursInAWeek * administrativeCostPerHourYear1 *
numVirtualServersGroup1 * adminCostOnVirtualServer
 * (1 + administrativeRateIncrease)^4</f>
        <v>90924301.439999998</v>
      </c>
      <c r="G26" s="41">
        <f t="shared" ref="G26:G32" si="0">SUM(B26:F26)</f>
        <v>437139373.44</v>
      </c>
      <c r="H26" s="32"/>
    </row>
    <row r="27" spans="1:8">
      <c r="A27" s="93" t="s">
        <v>245</v>
      </c>
      <c r="B27" s="91" cm="1">
        <f t="array" ref="B27">weeksAdminTimeNewServers * hoursInAWeek * administrativeCostPerHourYear1 * numNewServersGroup2</f>
        <v>19740000</v>
      </c>
      <c r="C27" s="91" cm="1">
        <f t="array" ref="C27">weeksAdminTimeNewServers * hoursInAWeek * administrativeCostPerHourYear1 * numNewServersGroup2
  * (1 + administrativeRateIncrease)</f>
        <v>20134800</v>
      </c>
      <c r="D27" s="91" cm="1">
        <f t="array" ref="D27">weeksAdminTimeNewServers * hoursInAWeek * administrativeCostPerHourYear1 * numNewServersGroup2
 * (1 + administrativeRateIncrease)^2</f>
        <v>20537496</v>
      </c>
      <c r="E27" s="91" cm="1">
        <f t="array" ref="E27">weeksAdminTimeNewServers * hoursInAWeek * administrativeCostPerHourYear1 * numNewServersGroup2
 * (1 + administrativeRateIncrease)^3</f>
        <v>20948245.919999998</v>
      </c>
      <c r="F27" s="91" cm="1">
        <f t="array" ref="F27">weeksAdminTimeNewServers * hoursInAWeek * administrativeCostPerHourYear1 * numNewServersGroup2
  * (1 + administrativeRateIncrease)^4</f>
        <v>21367210.838399999</v>
      </c>
      <c r="G27" s="41">
        <f t="shared" si="0"/>
        <v>102727752.75839999</v>
      </c>
    </row>
    <row r="28" spans="1:8">
      <c r="A28" s="93" t="s">
        <v>246</v>
      </c>
      <c r="B28" s="91" cm="1">
        <f t="array" ref="B28">weeksAdminTimeNewServers * hoursInAWeek * administrativeCostPerHourYear1 *
numVirtualServersGroup2 * adminCostOnVirtualServer</f>
        <v>33600000</v>
      </c>
      <c r="C28" s="91" cm="1">
        <f t="array" ref="C28">weeksAdminTimeNewServers * hoursInAWeek * administrativeCostPerHourYear1 *
numVirtualServersGroup2 * adminCostOnVirtualServer
* (1 + administrativeRateIncrease)</f>
        <v>34272000</v>
      </c>
      <c r="D28" s="91" cm="1">
        <f t="array" ref="D28">weeksAdminTimeNewServers * hoursInAWeek * administrativeCostPerHourYear1 *
numVirtualServersGroup2 * adminCostOnVirtualServer
 * (1 + administrativeRateIncrease)^2</f>
        <v>34957440</v>
      </c>
      <c r="E28" s="91" cm="1">
        <f t="array" ref="E28">weeksAdminTimeNewServers * hoursInAWeek * administrativeCostPerHourYear1 *
numVirtualServersGroup2 * adminCostOnVirtualServer
* (1 + administrativeRateIncrease)^3</f>
        <v>35656588.799999997</v>
      </c>
      <c r="F28" s="91" cm="1">
        <f t="array" ref="F28">weeksAdminTimeNewServers * hoursInAWeek * administrativeCostPerHourYear1 *
numVirtualServersGroup2 * adminCostOnVirtualServer
 * (1 + administrativeRateIncrease)
^4</f>
        <v>36369720.575999998</v>
      </c>
      <c r="G28" s="41">
        <f t="shared" si="0"/>
        <v>174855749.37600002</v>
      </c>
    </row>
    <row r="29" spans="1:8">
      <c r="A29" s="93" t="s">
        <v>247</v>
      </c>
      <c r="B29" s="91" cm="1">
        <f t="array" ref="B29">weeksAdminTimeNewServers * hoursInAWeek * administrativeCostPerHourYear1 * numNewServersGroup3</f>
        <v>210000</v>
      </c>
      <c r="C29" s="91" cm="1">
        <f t="array" ref="C29">weeksAdminTimeNewServers * hoursInAWeek * administrativeCostPerHourYear1 * numNewServersGroup3
 * (1 + administrativeRateIncrease)</f>
        <v>214200</v>
      </c>
      <c r="D29" s="91" cm="1">
        <f t="array" ref="D29">weeksAdminTimeNewServers * hoursInAWeek * administrativeCostPerHourYear1 * numNewServersGroup3
 * (1 + administrativeRateIncrease)^2</f>
        <v>218484</v>
      </c>
      <c r="E29" s="91" cm="1">
        <f t="array" ref="E29">weeksAdminTimeNewServers * hoursInAWeek * administrativeCostPerHourYear1 * numNewServersGroup3
  * (1 + administrativeRateIncrease)^3</f>
        <v>222853.68</v>
      </c>
      <c r="F29" s="91" cm="1">
        <f t="array" ref="F29" xml:space="preserve"> (weeksAdministrativeTimeGroup3 * hoursInAWeek * administrativeCostPerHourYear1 * numNewServersGroup3)  * (1 + administrativeRateIncrease)^4</f>
        <v>75770.251199999999</v>
      </c>
      <c r="G29" s="41">
        <f t="shared" si="0"/>
        <v>941307.93119999999</v>
      </c>
    </row>
    <row r="30" spans="1:8">
      <c r="A30" s="93" t="s">
        <v>248</v>
      </c>
      <c r="B30" s="91" cm="1">
        <f t="array" ref="B30">weeksAdminTimeNewServers * hoursInAWeek * administrativeCostPerHourYear1 *
numVirtualServersGroup3 * adminCostOnVirtualServer</f>
        <v>252000</v>
      </c>
      <c r="C30" s="91" cm="1">
        <f t="array" ref="C30">weeksAdminTimeNewServers * hoursInAWeek * administrativeCostPerHourYear1 *
numVirtualServersGroup3 * adminCostOnVirtualServer * (1 + administrativeRateIncrease)</f>
        <v>257040</v>
      </c>
      <c r="D30" s="91" cm="1">
        <f t="array" ref="D30">weeksAdminTimeNewServers * hoursInAWeek * administrativeCostPerHourYear1 *
numVirtualServersGroup3 * adminCostOnVirtualServer * (1 + administrativeRateIncrease)^2</f>
        <v>262180.8</v>
      </c>
      <c r="E30" s="91" cm="1">
        <f t="array" ref="E30">weeksAdminTimeNewServers * hoursInAWeek * administrativeCostPerHourYear1 *
numVirtualServersGroup3 * adminCostOnVirtualServer* (1 + administrativeRateIncrease)^3</f>
        <v>267424.41599999997</v>
      </c>
      <c r="F30" s="91" cm="1">
        <f t="array" ref="F30">weeksAdminTimeNewServers * hoursInAWeek * administrativeCostPerHourYear1 *
numVirtualServersGroup3 * adminCostOnVirtualServer * (1 + administrativeRateIncrease)^4</f>
        <v>272772.90431999997</v>
      </c>
      <c r="G30" s="41">
        <f t="shared" si="0"/>
        <v>1311418.12032</v>
      </c>
    </row>
    <row r="31" spans="1:8">
      <c r="A31" s="93" t="s">
        <v>249</v>
      </c>
      <c r="B31" s="91" cm="1">
        <f t="array" ref="B31">weeksAdminTimeNewServers * hoursInAWeek * administrativeCostPerHourYear1 * numNewServersGroup4</f>
        <v>1050000</v>
      </c>
      <c r="C31" s="91" cm="1">
        <f t="array" ref="C31">weeksAdminTimeNewServers * hoursInAWeek * administrativeCostPerHourYear1 * numNewServersGroup4
 * (1 + administrativeRateIncrease)</f>
        <v>1071000</v>
      </c>
      <c r="D31" s="91" cm="1">
        <f t="array" ref="D31">weeksAdminTimeNewServers * hoursInAWeek * administrativeCostPerHourYear1 * numNewServersGroup4
  * (1 + administrativeRateIncrease)^2</f>
        <v>1092420</v>
      </c>
      <c r="E31" s="91" cm="1">
        <f t="array" ref="E31">weeksAdminTimeNewServers * hoursInAWeek * administrativeCostPerHourYear1 * numNewServersGroup4
 * (1 + administrativeRateIncrease)^3</f>
        <v>1114268.3999999999</v>
      </c>
      <c r="F31" s="91" cm="1">
        <f t="array" ref="F31">weeksAdminTimeNewServers * hoursInAWeek * administrativeCostPerHourYear1 * numNewServersGroup4
  * (1 + administrativeRateIncrease)^4</f>
        <v>1136553.7679999999</v>
      </c>
      <c r="G31" s="41">
        <f t="shared" si="0"/>
        <v>5464242.1680000005</v>
      </c>
    </row>
    <row r="32" spans="1:8">
      <c r="A32" s="94" t="s">
        <v>250</v>
      </c>
      <c r="B32" s="91" cm="1">
        <f t="array" ref="B32">weeksAdminTimeNewServers * hoursInAWeek * administrativeCostPerHourYear1 *
numVirtualServersGroup4 * adminCostOnVirtualServer</f>
        <v>2520000</v>
      </c>
      <c r="C32" s="91" cm="1">
        <f t="array" ref="C32">weeksAdminTimeNewServers * hoursInAWeek * administrativeCostPerHourYear1 *
numVirtualServersGroup4 * adminCostOnVirtualServer
 * (1 + administrativeRateIncrease)</f>
        <v>2570400</v>
      </c>
      <c r="D32" s="91" cm="1">
        <f t="array" ref="D32">weeksAdminTimeNewServers * hoursInAWeek * administrativeCostPerHourYear1 *
numVirtualServersGroup4 * adminCostOnVirtualServer
 * (1 + administrativeRateIncrease)^2</f>
        <v>2621808</v>
      </c>
      <c r="E32" s="91" cm="1">
        <f t="array" ref="E32">weeksAdminTimeNewServers * hoursInAWeek * administrativeCostPerHourYear1 *
numVirtualServersGroup4 * adminCostOnVirtualServer
 * (1 + administrativeRateIncrease)^3</f>
        <v>2674244.1599999997</v>
      </c>
      <c r="F32" s="91" cm="1">
        <f t="array" ref="F32">weeksAdminTimeNewServers * hoursInAWeek * administrativeCostPerHourYear1 *
numVirtualServersGroup4 * adminCostOnVirtualServer
 * (1 + administrativeRateIncrease)^4</f>
        <v>2727729.0431999997</v>
      </c>
      <c r="G32" s="41">
        <f t="shared" si="0"/>
        <v>13114181.203199999</v>
      </c>
    </row>
    <row r="33" spans="1:9">
      <c r="A33" s="59" t="s">
        <v>251</v>
      </c>
      <c r="B33" s="47">
        <f>SUM(B25:B32)</f>
        <v>193872000</v>
      </c>
      <c r="C33" s="47">
        <f>SUM(C25:C32)</f>
        <v>197749440</v>
      </c>
      <c r="D33" s="47">
        <f>SUM(D25:D32)</f>
        <v>201704428.80000001</v>
      </c>
      <c r="E33" s="47">
        <f t="shared" ref="C33:F33" si="1">SUM(E25:E32)</f>
        <v>205738517.37599999</v>
      </c>
      <c r="F33" s="47">
        <f t="shared" si="1"/>
        <v>209701747.22112</v>
      </c>
      <c r="G33" s="42">
        <f>SUM(B33:F33)</f>
        <v>1008766133.3971199</v>
      </c>
      <c r="H33" s="32"/>
    </row>
    <row r="34" spans="1:9" ht="15" customHeight="1">
      <c r="A34" s="104"/>
      <c r="B34" s="105"/>
      <c r="C34" s="105"/>
      <c r="D34" s="105"/>
      <c r="E34" s="105"/>
      <c r="F34" s="106"/>
      <c r="G34" s="24"/>
    </row>
    <row r="35" spans="1:9">
      <c r="A35" s="29" t="s">
        <v>252</v>
      </c>
      <c r="B35" s="30" cm="1">
        <f t="array" ref="B35">backupTimeGroup1V * numberOfBackUpsGroup1V * administrativeCostPerHourYear1 * numNewServersGroup1</f>
        <v>91250000</v>
      </c>
      <c r="C35" s="30" cm="1">
        <f t="array" ref="C35">backupTimeGroup1V * numberOfBackUpsGroup1V * administrativeCostPerHourYear1 * numNewServersGroup1
 * (1 + administrativeRateIncrease)</f>
        <v>93075000</v>
      </c>
      <c r="D35" s="30" cm="1">
        <f t="array" ref="D35">backupTimeGroup1V * numberOfBackUpsGroup1V * administrativeCostPerHourYear1 * numNewServersGroup1
 * (1 + administrativeRateIncrease)^2</f>
        <v>94936500</v>
      </c>
      <c r="E35" s="30" cm="1">
        <f t="array" ref="E35">backupTimeGroup1V * numberOfBackUpsGroup1V * administrativeCostPerHourYear1 * numNewServersGroup1
 * (1 + administrativeRateIncrease)^3</f>
        <v>96835230</v>
      </c>
      <c r="F35" s="30" cm="1">
        <f t="array" ref="F35">backupTimeGroup1V * numberOfBackUpsGroup1V * administrativeCostPerHourYear1 * numNewServersGroup1
 * (1 + administrativeRateIncrease)^4</f>
        <v>98771934.599999994</v>
      </c>
      <c r="G35" s="41">
        <f>SUM(B35:F35)</f>
        <v>474868664.60000002</v>
      </c>
      <c r="I35" s="32"/>
    </row>
    <row r="36" spans="1:9">
      <c r="A36" s="29" t="s">
        <v>253</v>
      </c>
      <c r="B36" s="30" cm="1">
        <f t="array" ref="B36">backUpTimeGroup2V * numberOfBackUpsGroup2V * administrativeCostPerHourYear1 * numNewServersGroup2</f>
        <v>34310000</v>
      </c>
      <c r="C36" s="30" cm="1">
        <f t="array" ref="C36">backUpTimeGroup2V * numberOfBackUpsGroup2V * administrativeCostPerHourYear1 * numNewServersGroup2
 * (1 + administrativeRateIncrease)</f>
        <v>34996200</v>
      </c>
      <c r="D36" s="30" cm="1">
        <f t="array" ref="D36">backUpTimeGroup2V * numberOfBackUpsGroup2V * administrativeCostPerHourYear1 * numNewServersGroup2
 * (1 + administrativeRateIncrease)^2</f>
        <v>35696124</v>
      </c>
      <c r="E36" s="30" cm="1">
        <f t="array" ref="E36">backUpTimeGroup2V * numberOfBackUpsGroup2V * administrativeCostPerHourYear1 * numNewServersGroup2
 * (1 + administrativeRateIncrease)^3</f>
        <v>36410046.479999997</v>
      </c>
      <c r="F36" s="30" cm="1">
        <f t="array" ref="F36">backUpTimeGroup2V * numberOfBackUpsGroup2V * administrativeCostPerHourYear1 * numNewServersGroup2
 * (1 + administrativeRateIncrease)^4</f>
        <v>37138247.409599997</v>
      </c>
      <c r="G36" s="41">
        <f t="shared" ref="G36:G38" si="2">SUM(B36:F36)</f>
        <v>178550617.88959998</v>
      </c>
    </row>
    <row r="37" spans="1:9">
      <c r="A37" s="29" t="s">
        <v>254</v>
      </c>
      <c r="B37" s="30" cm="1">
        <f t="array" ref="B37">backUpTimeGroup3V * numberOfBackUpsGroup3V * administrativeCostPerHourYear1 * numNewServersGroup3</f>
        <v>365000</v>
      </c>
      <c r="C37" s="30" cm="1">
        <f t="array" ref="C37">backUpTimeGroup3V * numberOfBackUpsGroup3V * administrativeCostPerHourYear1 * numNewServersGroup3
* (1 + administrativeRateIncrease)</f>
        <v>372300</v>
      </c>
      <c r="D37" s="30" cm="1">
        <f t="array" ref="D37">backUpTimeGroup3V * numberOfBackUpsGroup3V * administrativeCostPerHourYear1 * numNewServersGroup3
 * (1 + administrativeRateIncrease)^2</f>
        <v>379746</v>
      </c>
      <c r="E37" s="30" cm="1">
        <f t="array" ref="E37">backUpTimeGroup3V * numberOfBackUpsGroup3V * administrativeCostPerHourYear1 * numNewServersGroup3
* (1 + administrativeRateIncrease)^3</f>
        <v>387340.92</v>
      </c>
      <c r="F37" s="30" cm="1">
        <f t="array" ref="F37">backUpTimeGroup3V * numberOfBackUpsGroup3V * administrativeCostPerHourYear1 * numNewServersGroup3
 * (1 + administrativeRateIncrease)^4</f>
        <v>395087.73839999997</v>
      </c>
      <c r="G37" s="41">
        <f t="shared" si="2"/>
        <v>1899474.6583999998</v>
      </c>
    </row>
    <row r="38" spans="1:9">
      <c r="A38" s="29" t="s">
        <v>255</v>
      </c>
      <c r="B38" s="30" cm="1">
        <f t="array" ref="B38">backupTimeGroup4V * numberOfBackUpsGroup4V * administrativeCostPerHourYear1 * numNewServersGroup4</f>
        <v>390000</v>
      </c>
      <c r="C38" s="30" cm="1">
        <f t="array" ref="C38">backupTimeGroup4V * numberOfBackUpsGroup4V * administrativeCostPerHourYear1 * numNewServersGroup4
 * (1 + administrativeRateIncrease)</f>
        <v>397800</v>
      </c>
      <c r="D38" s="30" cm="1">
        <f t="array" ref="D38">backupTimeGroup4V * numberOfBackUpsGroup4V * administrativeCostPerHourYear1 * numNewServersGroup4
 * (1 + administrativeRateIncrease)^2</f>
        <v>405756</v>
      </c>
      <c r="E38" s="30" cm="1">
        <f t="array" ref="E38">backupTimeGroup4V * numberOfBackUpsGroup4V * administrativeCostPerHourYear1 * numNewServersGroup4
* (1 + administrativeRateIncrease)^3</f>
        <v>413871.12</v>
      </c>
      <c r="F38" s="30" cm="1">
        <f t="array" ref="F38">backupTimeGroup4V * numberOfBackUpsGroup4V * administrativeCostPerHourYear1 * numNewServersGroup4
* (1 + administrativeRateIncrease)^4</f>
        <v>422148.54239999998</v>
      </c>
      <c r="G38" s="41">
        <f t="shared" si="2"/>
        <v>2029575.6624</v>
      </c>
    </row>
    <row r="39" spans="1:9">
      <c r="A39" s="59" t="s">
        <v>256</v>
      </c>
      <c r="B39" s="47">
        <f>SUM(B35:B38)</f>
        <v>126315000</v>
      </c>
      <c r="C39" s="47">
        <f t="shared" ref="C39:F39" si="3">SUM(C35:C38)</f>
        <v>128841300</v>
      </c>
      <c r="D39" s="47">
        <f t="shared" si="3"/>
        <v>131418126</v>
      </c>
      <c r="E39" s="47">
        <f t="shared" si="3"/>
        <v>134046488.52</v>
      </c>
      <c r="F39" s="47">
        <f t="shared" si="3"/>
        <v>136727418.2904</v>
      </c>
      <c r="G39" s="42">
        <f>SUM(B39:F39)</f>
        <v>657348332.81040001</v>
      </c>
      <c r="I39" s="32"/>
    </row>
    <row r="40" spans="1:9" ht="15.75" customHeight="1">
      <c r="A40" s="104"/>
      <c r="B40" s="105"/>
      <c r="C40" s="105"/>
      <c r="D40" s="105"/>
      <c r="E40" s="105"/>
      <c r="F40" s="106"/>
      <c r="G40" s="24"/>
    </row>
    <row r="41" spans="1:9">
      <c r="A41" s="50" t="s">
        <v>160</v>
      </c>
      <c r="B41" s="47">
        <f>SUM(B33,B39)</f>
        <v>320187000</v>
      </c>
      <c r="C41" s="47">
        <f t="shared" ref="C41:F41" si="4">SUM(C33,C39)</f>
        <v>326590740</v>
      </c>
      <c r="D41" s="47">
        <f t="shared" si="4"/>
        <v>333122554.80000001</v>
      </c>
      <c r="E41" s="47">
        <f t="shared" si="4"/>
        <v>339785005.89599997</v>
      </c>
      <c r="F41" s="47">
        <f t="shared" si="4"/>
        <v>346429165.51152003</v>
      </c>
      <c r="G41" s="42">
        <f>SUM(B41:F41)</f>
        <v>1666114466.20752</v>
      </c>
      <c r="H41" s="32"/>
      <c r="I41" s="32"/>
    </row>
    <row r="42" spans="1:9" ht="13.5" customHeight="1">
      <c r="A42" s="104"/>
      <c r="B42" s="105"/>
      <c r="C42" s="105"/>
      <c r="D42" s="105"/>
      <c r="E42" s="105"/>
      <c r="F42" s="106"/>
      <c r="G42" s="24"/>
    </row>
    <row r="43" spans="1:9">
      <c r="A43" s="36" t="s">
        <v>161</v>
      </c>
      <c r="B43" s="42">
        <f>SUM(B41:F41)</f>
        <v>1666114466.20752</v>
      </c>
      <c r="C43" s="120"/>
      <c r="D43" s="121"/>
      <c r="E43" s="121"/>
      <c r="F43" s="122"/>
      <c r="G43" s="24"/>
    </row>
    <row r="44" spans="1:9">
      <c r="A44" s="55"/>
      <c r="B44" s="44"/>
      <c r="C44" s="44"/>
      <c r="D44" s="44"/>
      <c r="E44" s="44"/>
      <c r="F44" s="45"/>
      <c r="G44" s="24"/>
    </row>
    <row r="45" spans="1:9">
      <c r="A45" s="59" t="s">
        <v>257</v>
      </c>
      <c r="B45" s="47">
        <f>SUM(B20,B41)</f>
        <v>509577536.21599996</v>
      </c>
      <c r="C45" s="47">
        <f t="shared" ref="C45:F45" si="5">SUM(C20,C41)</f>
        <v>349357216.94032001</v>
      </c>
      <c r="D45" s="47">
        <f t="shared" si="5"/>
        <v>356506943.47912639</v>
      </c>
      <c r="E45" s="47">
        <f t="shared" si="5"/>
        <v>363779780.31470889</v>
      </c>
      <c r="F45" s="47">
        <f t="shared" si="5"/>
        <v>371026636.92058712</v>
      </c>
      <c r="G45" s="48">
        <f>SUM(B45:F45)</f>
        <v>1950248113.8707423</v>
      </c>
    </row>
    <row r="46" spans="1:9">
      <c r="B46" s="35"/>
      <c r="C46" s="35"/>
      <c r="D46" s="35"/>
      <c r="E46" s="35"/>
      <c r="F46" s="89"/>
      <c r="G46" s="24"/>
    </row>
    <row r="47" spans="1:9">
      <c r="A47" s="60" t="s">
        <v>258</v>
      </c>
      <c r="B47" s="48">
        <f>SUM(B45:F45)</f>
        <v>1950248113.8707423</v>
      </c>
      <c r="C47" s="30"/>
      <c r="D47" s="30"/>
      <c r="E47" s="30"/>
      <c r="F47" s="30"/>
      <c r="G47" s="24"/>
    </row>
  </sheetData>
  <mergeCells count="11">
    <mergeCell ref="G2:G3"/>
    <mergeCell ref="C43:F43"/>
    <mergeCell ref="A34:F34"/>
    <mergeCell ref="A40:F40"/>
    <mergeCell ref="A42:F42"/>
    <mergeCell ref="A1:F1"/>
    <mergeCell ref="B2:F2"/>
    <mergeCell ref="A21:F21"/>
    <mergeCell ref="A23:F23"/>
    <mergeCell ref="C22:F22"/>
    <mergeCell ref="A19:F19"/>
  </mergeCells>
  <printOptions gridLines="1"/>
  <pageMargins left="0.27" right="0.19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tabSelected="1" zoomScale="140" zoomScaleNormal="140" workbookViewId="0">
      <selection sqref="A1:G21"/>
    </sheetView>
  </sheetViews>
  <sheetFormatPr defaultColWidth="8.85546875" defaultRowHeight="15"/>
  <cols>
    <col min="1" max="1" width="28.28515625" customWidth="1"/>
    <col min="2" max="2" width="24.140625" customWidth="1"/>
    <col min="3" max="3" width="24.42578125" customWidth="1"/>
    <col min="4" max="4" width="14.140625" customWidth="1"/>
    <col min="5" max="5" width="15.7109375" customWidth="1"/>
    <col min="6" max="6" width="15.42578125" customWidth="1"/>
    <col min="7" max="7" width="15.140625" customWidth="1"/>
  </cols>
  <sheetData>
    <row r="1" spans="1:8" ht="21">
      <c r="A1" s="126" t="s">
        <v>259</v>
      </c>
      <c r="B1" s="127"/>
      <c r="C1" s="127"/>
      <c r="D1" s="127"/>
      <c r="E1" s="127"/>
      <c r="F1" s="127"/>
      <c r="G1" s="128"/>
    </row>
    <row r="2" spans="1:8" ht="9" customHeight="1">
      <c r="A2" s="119"/>
      <c r="B2" s="119"/>
      <c r="C2" s="119"/>
      <c r="D2" s="119"/>
      <c r="E2" s="119"/>
      <c r="F2" s="119"/>
      <c r="G2" s="119"/>
    </row>
    <row r="3" spans="1:8">
      <c r="A3" s="24"/>
      <c r="B3" s="28" t="s">
        <v>124</v>
      </c>
      <c r="C3" s="104" t="s">
        <v>125</v>
      </c>
      <c r="D3" s="105"/>
      <c r="E3" s="105"/>
      <c r="F3" s="105"/>
      <c r="G3" s="106"/>
    </row>
    <row r="4" spans="1:8">
      <c r="A4" s="24"/>
      <c r="B4" s="24"/>
      <c r="C4" s="28" t="s">
        <v>127</v>
      </c>
      <c r="D4" s="28" t="s">
        <v>128</v>
      </c>
      <c r="E4" s="28" t="s">
        <v>129</v>
      </c>
      <c r="F4" s="28" t="s">
        <v>130</v>
      </c>
      <c r="G4" s="34" t="s">
        <v>131</v>
      </c>
    </row>
    <row r="5" spans="1:8" ht="18.95">
      <c r="A5" s="58" t="s">
        <v>260</v>
      </c>
      <c r="B5" s="16"/>
      <c r="C5" s="16"/>
      <c r="D5" s="16"/>
      <c r="E5" s="16"/>
      <c r="F5" s="16"/>
      <c r="G5" s="16"/>
    </row>
    <row r="6" spans="1:8" ht="20.100000000000001" customHeight="1">
      <c r="A6" s="24"/>
      <c r="B6" s="24" t="s">
        <v>146</v>
      </c>
      <c r="C6" s="25" cm="1">
        <f t="array" ref="C6">totalyearlyhardcostsyear1</f>
        <v>21212203.439999998</v>
      </c>
      <c r="D6" s="25" cm="1">
        <f t="array" ref="D6">totalyearlyhardcostsyear2</f>
        <v>21637872.208799999</v>
      </c>
      <c r="E6" s="25" cm="1">
        <f t="array" ref="E6">totalyearlyhardcostsyear3</f>
        <v>22108154.693976</v>
      </c>
      <c r="F6" s="25" cm="1">
        <f t="array" ref="F6">totalyearlyhardcostsyear4</f>
        <v>22551226.180085517</v>
      </c>
      <c r="G6" s="25" cm="1">
        <f t="array" ref="G6">totalyearlyhardcostsyear5</f>
        <v>23003265.547684133</v>
      </c>
      <c r="H6" s="61"/>
    </row>
    <row r="7" spans="1:8" ht="20.100000000000001" customHeight="1">
      <c r="A7" s="24"/>
      <c r="B7" s="71" t="s">
        <v>242</v>
      </c>
      <c r="C7" s="38" cm="1">
        <f t="array" ref="C7">totalfiveyearhardcosts</f>
        <v>110512722.07054564</v>
      </c>
      <c r="D7" s="24"/>
      <c r="E7" s="24"/>
      <c r="F7" s="24"/>
      <c r="G7" s="24"/>
    </row>
    <row r="8" spans="1:8" ht="20.100000000000001" customHeight="1">
      <c r="A8" s="24"/>
      <c r="B8" s="24" t="s">
        <v>160</v>
      </c>
      <c r="C8" s="25" cm="1">
        <f t="array" ref="C8">totalyearlysoftcostsyear1</f>
        <v>613603400</v>
      </c>
      <c r="D8" s="25" cm="1">
        <f t="array" ref="D8">totalyearlysoftcostsyear2</f>
        <v>625875468</v>
      </c>
      <c r="E8" s="25" cm="1">
        <f t="array" ref="E8">totalyearlysoftcostsyear3</f>
        <v>638392977.36000001</v>
      </c>
      <c r="F8" s="25" cm="1">
        <f t="array" ref="F8">totalyearlysoftcostsyear4</f>
        <v>651160836.9072001</v>
      </c>
      <c r="G8" s="25" cm="1">
        <f t="array" ref="G8">totalyearlysoftcostsyear5</f>
        <v>664184053.64534378</v>
      </c>
    </row>
    <row r="9" spans="1:8" ht="20.100000000000001" customHeight="1">
      <c r="A9" s="24"/>
      <c r="B9" s="71" t="s">
        <v>261</v>
      </c>
      <c r="C9" s="38" cm="1">
        <f t="array" ref="C9">totalfiveyearsoftcosts</f>
        <v>3193216735.9125443</v>
      </c>
      <c r="D9" s="24"/>
      <c r="E9" s="24"/>
      <c r="F9" s="24"/>
      <c r="G9" s="24"/>
    </row>
    <row r="10" spans="1:8" ht="20.100000000000001" customHeight="1">
      <c r="A10" s="63" t="s">
        <v>262</v>
      </c>
      <c r="B10" s="62" cm="1">
        <f t="array" ref="B10">totalfiveyearcost</f>
        <v>3303729457.9830899</v>
      </c>
      <c r="C10" s="120"/>
      <c r="D10" s="121"/>
      <c r="E10" s="121"/>
      <c r="F10" s="121"/>
      <c r="G10" s="122"/>
    </row>
    <row r="11" spans="1:8" ht="18.75" customHeight="1">
      <c r="A11" s="104"/>
      <c r="B11" s="105"/>
      <c r="C11" s="105"/>
      <c r="D11" s="105"/>
      <c r="E11" s="105"/>
      <c r="F11" s="105"/>
      <c r="G11" s="106"/>
    </row>
    <row r="12" spans="1:8" ht="18.95">
      <c r="A12" s="58" t="s">
        <v>263</v>
      </c>
      <c r="B12" s="16"/>
      <c r="C12" s="16"/>
      <c r="D12" s="16"/>
      <c r="E12" s="16"/>
      <c r="F12" s="16"/>
      <c r="G12" s="17"/>
    </row>
    <row r="13" spans="1:8" ht="20.100000000000001" customHeight="1">
      <c r="A13" s="24"/>
      <c r="B13" s="24" t="s">
        <v>146</v>
      </c>
      <c r="C13" s="25" cm="1">
        <f t="array" ref="C13">totalyearlyhardcostsvyear1</f>
        <v>189390536.21599999</v>
      </c>
      <c r="D13" s="25" cm="1">
        <f t="array" ref="D13">totalyearlyhardcostsvyear2</f>
        <v>22766476.94032</v>
      </c>
      <c r="E13" s="25" cm="1">
        <f t="array" ref="E13">totalyearlyhardcostsvyear3</f>
        <v>23384388.679126401</v>
      </c>
      <c r="F13" s="25" cm="1">
        <f t="array" ref="F13">totalyearlyhardcostsvyear4</f>
        <v>23994774.418708928</v>
      </c>
      <c r="G13" s="25" cm="1">
        <f t="array" ref="G13">totalyearlyhardcostsvyear5</f>
        <v>24597471.409067109</v>
      </c>
    </row>
    <row r="14" spans="1:8" ht="20.100000000000001" customHeight="1">
      <c r="A14" s="24"/>
      <c r="B14" s="71" t="s">
        <v>242</v>
      </c>
      <c r="C14" s="38" cm="1">
        <f t="array" ref="C14">totalfiveyearhardcostsv</f>
        <v>284133647.66322243</v>
      </c>
      <c r="D14" s="24"/>
      <c r="E14" s="24"/>
      <c r="F14" s="24"/>
      <c r="G14" s="24"/>
    </row>
    <row r="15" spans="1:8" ht="20.100000000000001" customHeight="1">
      <c r="A15" s="24"/>
      <c r="B15" s="24" t="s">
        <v>160</v>
      </c>
      <c r="C15" s="25" cm="1">
        <f t="array" ref="C15">totalyearlysoftcostsvyear1</f>
        <v>320187000</v>
      </c>
      <c r="D15" s="25" cm="1">
        <f t="array" ref="D15">totalyearlysoftcostsvyear2</f>
        <v>326590740</v>
      </c>
      <c r="E15" s="25" cm="1">
        <f t="array" ref="E15">totalyearlysoftcostsvyear3</f>
        <v>333122554.80000001</v>
      </c>
      <c r="F15" s="25" cm="1">
        <f t="array" ref="F15">totalyearlysoftcostsvyear4</f>
        <v>339785005.89599997</v>
      </c>
      <c r="G15" s="25" cm="1">
        <f t="array" ref="G15">totalyearlysoftcostsvyear5</f>
        <v>346429165.51152003</v>
      </c>
    </row>
    <row r="16" spans="1:8" ht="20.100000000000001" customHeight="1">
      <c r="A16" s="24"/>
      <c r="B16" s="71" t="s">
        <v>261</v>
      </c>
      <c r="C16" s="38" cm="1">
        <f t="array" ref="C16">totalfiveyearsoftcostsv</f>
        <v>1666114466.20752</v>
      </c>
      <c r="D16" s="24"/>
      <c r="E16" s="24"/>
      <c r="F16" s="24"/>
      <c r="G16" s="24"/>
    </row>
    <row r="17" spans="1:7" ht="20.100000000000001" customHeight="1">
      <c r="A17" s="64" t="s">
        <v>262</v>
      </c>
      <c r="B17" s="20" cm="1">
        <f t="array" ref="B17">totalfiveyearcostv</f>
        <v>1950248113.8707423</v>
      </c>
      <c r="C17" s="129"/>
      <c r="D17" s="130"/>
      <c r="E17" s="130"/>
      <c r="F17" s="130"/>
      <c r="G17" s="131"/>
    </row>
    <row r="18" spans="1:7" ht="18" customHeight="1">
      <c r="A18" s="21"/>
      <c r="B18" s="22"/>
      <c r="C18" s="22"/>
      <c r="D18" s="22"/>
      <c r="E18" s="22"/>
      <c r="F18" s="22"/>
      <c r="G18" s="23"/>
    </row>
    <row r="19" spans="1:7" ht="15.95">
      <c r="A19" s="124" t="s">
        <v>264</v>
      </c>
      <c r="B19" s="124"/>
      <c r="C19" s="66">
        <f>C7-C14</f>
        <v>-173620925.59267679</v>
      </c>
      <c r="D19" s="22"/>
      <c r="E19" s="22"/>
      <c r="F19" s="22"/>
      <c r="G19" s="23"/>
    </row>
    <row r="20" spans="1:7" ht="15.95">
      <c r="A20" s="125" t="s">
        <v>265</v>
      </c>
      <c r="B20" s="125"/>
      <c r="C20" s="67">
        <f>C9-C16</f>
        <v>1527102269.7050242</v>
      </c>
      <c r="D20" s="22"/>
      <c r="E20" s="22"/>
      <c r="F20" s="22"/>
      <c r="G20" s="23"/>
    </row>
    <row r="21" spans="1:7" ht="18.95">
      <c r="A21" s="65"/>
      <c r="B21" s="68" t="s">
        <v>266</v>
      </c>
      <c r="C21" s="69">
        <f>SUM(C19:C20)</f>
        <v>1353481344.1123474</v>
      </c>
      <c r="D21" s="26"/>
      <c r="E21" s="26"/>
      <c r="F21" s="26"/>
      <c r="G21" s="27"/>
    </row>
    <row r="24" spans="1:7">
      <c r="B24" s="32"/>
    </row>
    <row r="26" spans="1:7">
      <c r="B26" s="32"/>
    </row>
  </sheetData>
  <mergeCells count="8">
    <mergeCell ref="A19:B19"/>
    <mergeCell ref="A20:B20"/>
    <mergeCell ref="A1:G1"/>
    <mergeCell ref="A11:G11"/>
    <mergeCell ref="A2:G2"/>
    <mergeCell ref="C3:G3"/>
    <mergeCell ref="C10:G10"/>
    <mergeCell ref="C17:G17"/>
  </mergeCells>
  <printOptions gridLines="1"/>
  <pageMargins left="0.7" right="0.48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UCF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Llewellyn</dc:creator>
  <cp:keywords/>
  <dc:description/>
  <cp:lastModifiedBy/>
  <cp:revision/>
  <dcterms:created xsi:type="dcterms:W3CDTF">2011-02-02T19:28:52Z</dcterms:created>
  <dcterms:modified xsi:type="dcterms:W3CDTF">2026-02-21T01:49:06Z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34a74cea-304a-4334-977e-d4b8a99cf599</vt:lpwstr>
  </property>
</Properties>
</file>